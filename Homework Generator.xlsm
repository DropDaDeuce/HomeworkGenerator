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mathe\Documents\Kids School\"/>
    </mc:Choice>
  </mc:AlternateContent>
  <xr:revisionPtr revIDLastSave="0" documentId="13_ncr:1_{CF3BB288-8CE6-467C-9216-03021EAFEFAC}" xr6:coauthVersionLast="47" xr6:coauthVersionMax="47" xr10:uidLastSave="{00000000-0000-0000-0000-000000000000}"/>
  <bookViews>
    <workbookView xWindow="25695" yWindow="0" windowWidth="26010" windowHeight="20985" xr2:uid="{7FFEDACF-6950-4281-9FF3-FAEAE32C786E}"/>
  </bookViews>
  <sheets>
    <sheet name="Sheet1" sheetId="1" r:id="rId1"/>
    <sheet name="Sheet3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U11" i="1" l="1"/>
  <c r="CY11" i="1" s="1"/>
  <c r="B9" i="3"/>
  <c r="DS50" i="1" s="1"/>
  <c r="B8" i="3"/>
  <c r="DN50" i="1" s="1"/>
  <c r="B7" i="3"/>
  <c r="DI50" i="1" s="1"/>
  <c r="B6" i="3"/>
  <c r="DS42" i="1" s="1"/>
  <c r="B5" i="3"/>
  <c r="DN42" i="1" s="1"/>
  <c r="B4" i="3"/>
  <c r="DI42" i="1" s="1"/>
  <c r="B3" i="3"/>
  <c r="DS34" i="1" s="1"/>
  <c r="B2" i="3"/>
  <c r="DN34" i="1" s="1"/>
  <c r="B1" i="3"/>
  <c r="DI34" i="1" s="1"/>
  <c r="CQ23" i="1"/>
  <c r="CQ24" i="1" s="1"/>
  <c r="CQ50" i="1" s="1"/>
  <c r="CO23" i="1"/>
  <c r="CO24" i="1" s="1"/>
  <c r="CO50" i="1" s="1"/>
  <c r="CM23" i="1"/>
  <c r="CM24" i="1" s="1"/>
  <c r="CM50" i="1" s="1"/>
  <c r="CK23" i="1"/>
  <c r="CK24" i="1" s="1"/>
  <c r="CK50" i="1" s="1"/>
  <c r="CI23" i="1"/>
  <c r="CI24" i="1" s="1"/>
  <c r="CI50" i="1" s="1"/>
  <c r="CG23" i="1"/>
  <c r="CG24" i="1" s="1"/>
  <c r="CG50" i="1" s="1"/>
  <c r="CE23" i="1"/>
  <c r="CE24" i="1" s="1"/>
  <c r="CE50" i="1" s="1"/>
  <c r="CC23" i="1"/>
  <c r="CC24" i="1" s="1"/>
  <c r="CC50" i="1" s="1"/>
  <c r="CA23" i="1"/>
  <c r="CA24" i="1" s="1"/>
  <c r="CA50" i="1" s="1"/>
  <c r="BY23" i="1"/>
  <c r="BY24" i="1" s="1"/>
  <c r="BY50" i="1" s="1"/>
  <c r="BW23" i="1"/>
  <c r="BW24" i="1" s="1"/>
  <c r="BW50" i="1" s="1"/>
  <c r="BU23" i="1"/>
  <c r="BU49" i="1" s="1"/>
  <c r="CQ20" i="1"/>
  <c r="CQ21" i="1" s="1"/>
  <c r="CQ47" i="1" s="1"/>
  <c r="CO20" i="1"/>
  <c r="CO21" i="1" s="1"/>
  <c r="CO47" i="1" s="1"/>
  <c r="CM20" i="1"/>
  <c r="CM21" i="1" s="1"/>
  <c r="CM47" i="1" s="1"/>
  <c r="CK20" i="1"/>
  <c r="CK21" i="1" s="1"/>
  <c r="CK47" i="1" s="1"/>
  <c r="CI20" i="1"/>
  <c r="CI21" i="1" s="1"/>
  <c r="CI47" i="1" s="1"/>
  <c r="CG20" i="1"/>
  <c r="CG21" i="1" s="1"/>
  <c r="CG47" i="1" s="1"/>
  <c r="CE20" i="1"/>
  <c r="CE46" i="1" s="1"/>
  <c r="CC20" i="1"/>
  <c r="CC46" i="1" s="1"/>
  <c r="CA20" i="1"/>
  <c r="CA21" i="1" s="1"/>
  <c r="CA47" i="1" s="1"/>
  <c r="BY20" i="1"/>
  <c r="BY21" i="1" s="1"/>
  <c r="BY47" i="1" s="1"/>
  <c r="BW20" i="1"/>
  <c r="BW21" i="1" s="1"/>
  <c r="BW47" i="1" s="1"/>
  <c r="BU20" i="1"/>
  <c r="BU21" i="1" s="1"/>
  <c r="BU47" i="1" s="1"/>
  <c r="CQ17" i="1"/>
  <c r="CQ18" i="1" s="1"/>
  <c r="CQ44" i="1" s="1"/>
  <c r="CO17" i="1"/>
  <c r="CO18" i="1" s="1"/>
  <c r="CO44" i="1" s="1"/>
  <c r="CM17" i="1"/>
  <c r="CM18" i="1" s="1"/>
  <c r="CM44" i="1" s="1"/>
  <c r="CK17" i="1"/>
  <c r="CK18" i="1" s="1"/>
  <c r="CK44" i="1" s="1"/>
  <c r="CI17" i="1"/>
  <c r="CI18" i="1" s="1"/>
  <c r="CI44" i="1" s="1"/>
  <c r="CG17" i="1"/>
  <c r="CG18" i="1" s="1"/>
  <c r="CG44" i="1" s="1"/>
  <c r="CE17" i="1"/>
  <c r="CE43" i="1" s="1"/>
  <c r="CC17" i="1"/>
  <c r="CC18" i="1" s="1"/>
  <c r="CC44" i="1" s="1"/>
  <c r="CA17" i="1"/>
  <c r="CA18" i="1" s="1"/>
  <c r="CA44" i="1" s="1"/>
  <c r="BY17" i="1"/>
  <c r="BY18" i="1" s="1"/>
  <c r="BY44" i="1" s="1"/>
  <c r="BW17" i="1"/>
  <c r="BW18" i="1" s="1"/>
  <c r="BW44" i="1" s="1"/>
  <c r="BU17" i="1"/>
  <c r="BU18" i="1" s="1"/>
  <c r="BU44" i="1" s="1"/>
  <c r="CQ14" i="1"/>
  <c r="CQ40" i="1" s="1"/>
  <c r="CO14" i="1"/>
  <c r="CO40" i="1" s="1"/>
  <c r="CM14" i="1"/>
  <c r="CM15" i="1" s="1"/>
  <c r="CM41" i="1" s="1"/>
  <c r="CK14" i="1"/>
  <c r="CK40" i="1" s="1"/>
  <c r="CI14" i="1"/>
  <c r="CI40" i="1" s="1"/>
  <c r="CG14" i="1"/>
  <c r="CG40" i="1" s="1"/>
  <c r="CE14" i="1"/>
  <c r="CE40" i="1" s="1"/>
  <c r="CC14" i="1"/>
  <c r="CC15" i="1" s="1"/>
  <c r="CC41" i="1" s="1"/>
  <c r="CA14" i="1"/>
  <c r="CA15" i="1" s="1"/>
  <c r="CA41" i="1" s="1"/>
  <c r="BY14" i="1"/>
  <c r="BY15" i="1" s="1"/>
  <c r="BY41" i="1" s="1"/>
  <c r="BW14" i="1"/>
  <c r="BW15" i="1" s="1"/>
  <c r="BW41" i="1" s="1"/>
  <c r="BU14" i="1"/>
  <c r="BU15" i="1" s="1"/>
  <c r="BU41" i="1" s="1"/>
  <c r="CQ11" i="1"/>
  <c r="CQ12" i="1" s="1"/>
  <c r="CQ38" i="1" s="1"/>
  <c r="CO11" i="1"/>
  <c r="CO12" i="1" s="1"/>
  <c r="CO38" i="1" s="1"/>
  <c r="CM11" i="1"/>
  <c r="CM12" i="1" s="1"/>
  <c r="CM38" i="1" s="1"/>
  <c r="CK11" i="1"/>
  <c r="CK12" i="1" s="1"/>
  <c r="CK38" i="1" s="1"/>
  <c r="CI11" i="1"/>
  <c r="CI12" i="1" s="1"/>
  <c r="CI38" i="1" s="1"/>
  <c r="CG11" i="1"/>
  <c r="CG12" i="1" s="1"/>
  <c r="CG38" i="1" s="1"/>
  <c r="CE11" i="1"/>
  <c r="CE12" i="1" s="1"/>
  <c r="CE38" i="1" s="1"/>
  <c r="CC11" i="1"/>
  <c r="CC12" i="1" s="1"/>
  <c r="CC38" i="1" s="1"/>
  <c r="CA11" i="1"/>
  <c r="CA12" i="1" s="1"/>
  <c r="CA38" i="1" s="1"/>
  <c r="BY11" i="1"/>
  <c r="BY12" i="1" s="1"/>
  <c r="BY38" i="1" s="1"/>
  <c r="BW11" i="1"/>
  <c r="BW12" i="1" s="1"/>
  <c r="BW38" i="1" s="1"/>
  <c r="BU11" i="1"/>
  <c r="BU12" i="1" s="1"/>
  <c r="BU38" i="1" s="1"/>
  <c r="CQ8" i="1"/>
  <c r="CQ9" i="1" s="1"/>
  <c r="CQ35" i="1" s="1"/>
  <c r="CO8" i="1"/>
  <c r="CO9" i="1" s="1"/>
  <c r="CO35" i="1" s="1"/>
  <c r="CM8" i="1"/>
  <c r="CM9" i="1" s="1"/>
  <c r="CM35" i="1" s="1"/>
  <c r="CK8" i="1"/>
  <c r="CK9" i="1" s="1"/>
  <c r="CK35" i="1" s="1"/>
  <c r="CI8" i="1"/>
  <c r="CI34" i="1" s="1"/>
  <c r="CG8" i="1"/>
  <c r="CG34" i="1" s="1"/>
  <c r="CE8" i="1"/>
  <c r="CE34" i="1" s="1"/>
  <c r="CC8" i="1"/>
  <c r="CC9" i="1" s="1"/>
  <c r="CC35" i="1" s="1"/>
  <c r="CA8" i="1"/>
  <c r="CA9" i="1" s="1"/>
  <c r="CA35" i="1" s="1"/>
  <c r="BY8" i="1"/>
  <c r="BY9" i="1" s="1"/>
  <c r="BY35" i="1" s="1"/>
  <c r="BW8" i="1"/>
  <c r="BW9" i="1" s="1"/>
  <c r="BW35" i="1" s="1"/>
  <c r="BU8" i="1"/>
  <c r="BU9" i="1" s="1"/>
  <c r="BU35" i="1" s="1"/>
  <c r="CQ5" i="1"/>
  <c r="CQ6" i="1" s="1"/>
  <c r="CQ32" i="1" s="1"/>
  <c r="CO5" i="1"/>
  <c r="CO6" i="1" s="1"/>
  <c r="CO32" i="1" s="1"/>
  <c r="CM5" i="1"/>
  <c r="CM6" i="1" s="1"/>
  <c r="CM32" i="1" s="1"/>
  <c r="CK5" i="1"/>
  <c r="CK6" i="1" s="1"/>
  <c r="CK32" i="1" s="1"/>
  <c r="CI5" i="1"/>
  <c r="CI31" i="1" s="1"/>
  <c r="CG5" i="1"/>
  <c r="CG31" i="1" s="1"/>
  <c r="CE5" i="1"/>
  <c r="CE31" i="1" s="1"/>
  <c r="CC5" i="1"/>
  <c r="CC31" i="1" s="1"/>
  <c r="CA5" i="1"/>
  <c r="CA6" i="1" s="1"/>
  <c r="CA32" i="1" s="1"/>
  <c r="BY5" i="1"/>
  <c r="BY6" i="1" s="1"/>
  <c r="BY32" i="1" s="1"/>
  <c r="BW5" i="1"/>
  <c r="BW6" i="1" s="1"/>
  <c r="BW32" i="1" s="1"/>
  <c r="BU5" i="1"/>
  <c r="BU6" i="1" s="1"/>
  <c r="BU32" i="1" s="1"/>
  <c r="CQ2" i="1"/>
  <c r="CQ3" i="1" s="1"/>
  <c r="CQ29" i="1" s="1"/>
  <c r="CO2" i="1"/>
  <c r="CO3" i="1" s="1"/>
  <c r="CO29" i="1" s="1"/>
  <c r="CM2" i="1"/>
  <c r="CM28" i="1" s="1"/>
  <c r="CK2" i="1"/>
  <c r="CK28" i="1" s="1"/>
  <c r="CI2" i="1"/>
  <c r="CI28" i="1" s="1"/>
  <c r="CG2" i="1"/>
  <c r="CG28" i="1" s="1"/>
  <c r="CE2" i="1"/>
  <c r="CE3" i="1" s="1"/>
  <c r="CE29" i="1" s="1"/>
  <c r="CC2" i="1"/>
  <c r="CC3" i="1" s="1"/>
  <c r="CC29" i="1" s="1"/>
  <c r="CA2" i="1"/>
  <c r="CA3" i="1" s="1"/>
  <c r="CA29" i="1" s="1"/>
  <c r="BY2" i="1"/>
  <c r="BY3" i="1" s="1"/>
  <c r="BY29" i="1" s="1"/>
  <c r="BW2" i="1"/>
  <c r="BW3" i="1" s="1"/>
  <c r="BW29" i="1" s="1"/>
  <c r="BU2" i="1"/>
  <c r="BU28" i="1" s="1"/>
  <c r="BS23" i="1"/>
  <c r="BS24" i="1" s="1"/>
  <c r="BS50" i="1" s="1"/>
  <c r="BQ23" i="1"/>
  <c r="BQ24" i="1" s="1"/>
  <c r="BQ50" i="1" s="1"/>
  <c r="BO23" i="1"/>
  <c r="BO24" i="1" s="1"/>
  <c r="BO50" i="1" s="1"/>
  <c r="BM23" i="1"/>
  <c r="BM24" i="1" s="1"/>
  <c r="BM50" i="1" s="1"/>
  <c r="BK23" i="1"/>
  <c r="BK24" i="1" s="1"/>
  <c r="BK50" i="1" s="1"/>
  <c r="BI23" i="1"/>
  <c r="BI24" i="1" s="1"/>
  <c r="BI50" i="1" s="1"/>
  <c r="BG23" i="1"/>
  <c r="BG24" i="1" s="1"/>
  <c r="BG50" i="1" s="1"/>
  <c r="BE23" i="1"/>
  <c r="BE24" i="1" s="1"/>
  <c r="BE50" i="1" s="1"/>
  <c r="BC23" i="1"/>
  <c r="BC49" i="1" s="1"/>
  <c r="BA23" i="1"/>
  <c r="BA24" i="1" s="1"/>
  <c r="BA50" i="1" s="1"/>
  <c r="AY23" i="1"/>
  <c r="AY24" i="1" s="1"/>
  <c r="AY50" i="1" s="1"/>
  <c r="AW23" i="1"/>
  <c r="AW24" i="1" s="1"/>
  <c r="AW50" i="1" s="1"/>
  <c r="BS20" i="1"/>
  <c r="BS21" i="1" s="1"/>
  <c r="BS47" i="1" s="1"/>
  <c r="BQ20" i="1"/>
  <c r="BQ21" i="1" s="1"/>
  <c r="BQ47" i="1" s="1"/>
  <c r="BO20" i="1"/>
  <c r="BO21" i="1" s="1"/>
  <c r="BO47" i="1" s="1"/>
  <c r="BM20" i="1"/>
  <c r="BM21" i="1" s="1"/>
  <c r="BM47" i="1" s="1"/>
  <c r="BK20" i="1"/>
  <c r="BK21" i="1" s="1"/>
  <c r="BK47" i="1" s="1"/>
  <c r="BI20" i="1"/>
  <c r="BI21" i="1" s="1"/>
  <c r="BI47" i="1" s="1"/>
  <c r="BG20" i="1"/>
  <c r="BG21" i="1" s="1"/>
  <c r="BG47" i="1" s="1"/>
  <c r="BE20" i="1"/>
  <c r="BE21" i="1" s="1"/>
  <c r="BE47" i="1" s="1"/>
  <c r="BC20" i="1"/>
  <c r="BC21" i="1" s="1"/>
  <c r="BC47" i="1" s="1"/>
  <c r="BA20" i="1"/>
  <c r="BA21" i="1" s="1"/>
  <c r="BA47" i="1" s="1"/>
  <c r="AY20" i="1"/>
  <c r="AY21" i="1" s="1"/>
  <c r="AY47" i="1" s="1"/>
  <c r="AW20" i="1"/>
  <c r="AW21" i="1" s="1"/>
  <c r="AW47" i="1" s="1"/>
  <c r="BS17" i="1"/>
  <c r="BS18" i="1" s="1"/>
  <c r="BS44" i="1" s="1"/>
  <c r="BQ17" i="1"/>
  <c r="BQ18" i="1" s="1"/>
  <c r="BQ44" i="1" s="1"/>
  <c r="BO17" i="1"/>
  <c r="BO18" i="1" s="1"/>
  <c r="BO44" i="1" s="1"/>
  <c r="BM17" i="1"/>
  <c r="BM18" i="1" s="1"/>
  <c r="BM44" i="1" s="1"/>
  <c r="BK17" i="1"/>
  <c r="BK18" i="1" s="1"/>
  <c r="BK44" i="1" s="1"/>
  <c r="BI17" i="1"/>
  <c r="BI18" i="1" s="1"/>
  <c r="BI44" i="1" s="1"/>
  <c r="BG17" i="1"/>
  <c r="BG18" i="1" s="1"/>
  <c r="BG44" i="1" s="1"/>
  <c r="BE17" i="1"/>
  <c r="BE18" i="1" s="1"/>
  <c r="BE44" i="1" s="1"/>
  <c r="BC17" i="1"/>
  <c r="BC18" i="1" s="1"/>
  <c r="BC44" i="1" s="1"/>
  <c r="BA17" i="1"/>
  <c r="BA18" i="1" s="1"/>
  <c r="BA44" i="1" s="1"/>
  <c r="AY17" i="1"/>
  <c r="AY18" i="1" s="1"/>
  <c r="AY44" i="1" s="1"/>
  <c r="AW17" i="1"/>
  <c r="AW18" i="1" s="1"/>
  <c r="AW44" i="1" s="1"/>
  <c r="BS14" i="1"/>
  <c r="BS15" i="1" s="1"/>
  <c r="BS41" i="1" s="1"/>
  <c r="BQ14" i="1"/>
  <c r="BQ15" i="1" s="1"/>
  <c r="BQ41" i="1" s="1"/>
  <c r="BO14" i="1"/>
  <c r="BO15" i="1" s="1"/>
  <c r="BO41" i="1" s="1"/>
  <c r="BM14" i="1"/>
  <c r="BM15" i="1" s="1"/>
  <c r="BM41" i="1" s="1"/>
  <c r="BK14" i="1"/>
  <c r="BK15" i="1" s="1"/>
  <c r="BK41" i="1" s="1"/>
  <c r="BI14" i="1"/>
  <c r="BI15" i="1" s="1"/>
  <c r="BI41" i="1" s="1"/>
  <c r="BG14" i="1"/>
  <c r="BG15" i="1" s="1"/>
  <c r="BG41" i="1" s="1"/>
  <c r="BE14" i="1"/>
  <c r="BE15" i="1" s="1"/>
  <c r="BE41" i="1" s="1"/>
  <c r="BC14" i="1"/>
  <c r="BC15" i="1" s="1"/>
  <c r="BC41" i="1" s="1"/>
  <c r="BA14" i="1"/>
  <c r="BA15" i="1" s="1"/>
  <c r="BA41" i="1" s="1"/>
  <c r="AY14" i="1"/>
  <c r="AY15" i="1" s="1"/>
  <c r="AY41" i="1" s="1"/>
  <c r="AW14" i="1"/>
  <c r="AW15" i="1" s="1"/>
  <c r="AW41" i="1" s="1"/>
  <c r="BS11" i="1"/>
  <c r="BS12" i="1" s="1"/>
  <c r="BS38" i="1" s="1"/>
  <c r="BQ11" i="1"/>
  <c r="BQ12" i="1" s="1"/>
  <c r="BQ38" i="1" s="1"/>
  <c r="BO11" i="1"/>
  <c r="BO12" i="1" s="1"/>
  <c r="BO38" i="1" s="1"/>
  <c r="BM11" i="1"/>
  <c r="BM12" i="1" s="1"/>
  <c r="BM38" i="1" s="1"/>
  <c r="BK11" i="1"/>
  <c r="BK12" i="1" s="1"/>
  <c r="BK38" i="1" s="1"/>
  <c r="BI11" i="1"/>
  <c r="BI12" i="1" s="1"/>
  <c r="BI38" i="1" s="1"/>
  <c r="BG11" i="1"/>
  <c r="BG12" i="1" s="1"/>
  <c r="BG38" i="1" s="1"/>
  <c r="BE11" i="1"/>
  <c r="BE37" i="1" s="1"/>
  <c r="BC11" i="1"/>
  <c r="BC12" i="1" s="1"/>
  <c r="BC38" i="1" s="1"/>
  <c r="BA11" i="1"/>
  <c r="BA12" i="1" s="1"/>
  <c r="BA38" i="1" s="1"/>
  <c r="AY11" i="1"/>
  <c r="AY12" i="1" s="1"/>
  <c r="AY38" i="1" s="1"/>
  <c r="AW11" i="1"/>
  <c r="AW12" i="1" s="1"/>
  <c r="AW38" i="1" s="1"/>
  <c r="BS8" i="1"/>
  <c r="BS9" i="1" s="1"/>
  <c r="BS35" i="1" s="1"/>
  <c r="BQ8" i="1"/>
  <c r="BQ9" i="1" s="1"/>
  <c r="BQ35" i="1" s="1"/>
  <c r="BO8" i="1"/>
  <c r="BO9" i="1" s="1"/>
  <c r="BO35" i="1" s="1"/>
  <c r="BM8" i="1"/>
  <c r="BM9" i="1" s="1"/>
  <c r="BM35" i="1" s="1"/>
  <c r="BK8" i="1"/>
  <c r="BK9" i="1" s="1"/>
  <c r="BK35" i="1" s="1"/>
  <c r="BI8" i="1"/>
  <c r="BI9" i="1" s="1"/>
  <c r="BI35" i="1" s="1"/>
  <c r="BG8" i="1"/>
  <c r="BG9" i="1" s="1"/>
  <c r="BG35" i="1" s="1"/>
  <c r="BE8" i="1"/>
  <c r="BE9" i="1" s="1"/>
  <c r="BE35" i="1" s="1"/>
  <c r="BC8" i="1"/>
  <c r="BC9" i="1" s="1"/>
  <c r="BC35" i="1" s="1"/>
  <c r="BA8" i="1"/>
  <c r="BA9" i="1" s="1"/>
  <c r="BA35" i="1" s="1"/>
  <c r="AY8" i="1"/>
  <c r="AY9" i="1" s="1"/>
  <c r="AY35" i="1" s="1"/>
  <c r="AW8" i="1"/>
  <c r="AW9" i="1" s="1"/>
  <c r="AW35" i="1" s="1"/>
  <c r="BS5" i="1"/>
  <c r="BS6" i="1" s="1"/>
  <c r="BS32" i="1" s="1"/>
  <c r="BQ5" i="1"/>
  <c r="BQ6" i="1" s="1"/>
  <c r="BQ32" i="1" s="1"/>
  <c r="BO5" i="1"/>
  <c r="BO6" i="1" s="1"/>
  <c r="BO32" i="1" s="1"/>
  <c r="BM5" i="1"/>
  <c r="BM6" i="1" s="1"/>
  <c r="BM32" i="1" s="1"/>
  <c r="BK5" i="1"/>
  <c r="BK6" i="1" s="1"/>
  <c r="BK32" i="1" s="1"/>
  <c r="BI5" i="1"/>
  <c r="BI6" i="1" s="1"/>
  <c r="BI32" i="1" s="1"/>
  <c r="BG5" i="1"/>
  <c r="BG6" i="1" s="1"/>
  <c r="BG32" i="1" s="1"/>
  <c r="BE5" i="1"/>
  <c r="BE31" i="1" s="1"/>
  <c r="BC5" i="1"/>
  <c r="BC6" i="1" s="1"/>
  <c r="BC32" i="1" s="1"/>
  <c r="BA5" i="1"/>
  <c r="BA6" i="1" s="1"/>
  <c r="BA32" i="1" s="1"/>
  <c r="AY5" i="1"/>
  <c r="AY6" i="1" s="1"/>
  <c r="AY32" i="1" s="1"/>
  <c r="AW5" i="1"/>
  <c r="AW6" i="1" s="1"/>
  <c r="AW32" i="1" s="1"/>
  <c r="BS2" i="1"/>
  <c r="BS3" i="1" s="1"/>
  <c r="BS29" i="1" s="1"/>
  <c r="BQ2" i="1"/>
  <c r="BQ3" i="1" s="1"/>
  <c r="BQ29" i="1" s="1"/>
  <c r="BO2" i="1"/>
  <c r="BO3" i="1" s="1"/>
  <c r="BO29" i="1" s="1"/>
  <c r="BM2" i="1"/>
  <c r="BM3" i="1" s="1"/>
  <c r="BM29" i="1" s="1"/>
  <c r="BK2" i="1"/>
  <c r="BK3" i="1" s="1"/>
  <c r="BK29" i="1" s="1"/>
  <c r="BI2" i="1"/>
  <c r="BI3" i="1" s="1"/>
  <c r="BI29" i="1" s="1"/>
  <c r="BG2" i="1"/>
  <c r="BG3" i="1" s="1"/>
  <c r="BG29" i="1" s="1"/>
  <c r="BE2" i="1"/>
  <c r="BE3" i="1" s="1"/>
  <c r="BE29" i="1" s="1"/>
  <c r="BC2" i="1"/>
  <c r="BC3" i="1" s="1"/>
  <c r="BC29" i="1" s="1"/>
  <c r="BA2" i="1"/>
  <c r="BA3" i="1" s="1"/>
  <c r="BA29" i="1" s="1"/>
  <c r="AY2" i="1"/>
  <c r="AY3" i="1" s="1"/>
  <c r="AY29" i="1" s="1"/>
  <c r="AW2" i="1"/>
  <c r="AW3" i="1" s="1"/>
  <c r="AW29" i="1" s="1"/>
  <c r="CU5" i="1"/>
  <c r="CY5" i="1" s="1"/>
  <c r="CU8" i="1"/>
  <c r="CY8" i="1" s="1"/>
  <c r="CU14" i="1"/>
  <c r="CU17" i="1"/>
  <c r="CY17" i="1" s="1"/>
  <c r="I2" i="1"/>
  <c r="I28" i="1" s="1"/>
  <c r="A2" i="1"/>
  <c r="A28" i="1" s="1"/>
  <c r="CU2" i="1"/>
  <c r="CY2" i="1" s="1"/>
  <c r="CU23" i="1"/>
  <c r="CY23" i="1" s="1"/>
  <c r="CY49" i="1" s="1"/>
  <c r="CU20" i="1"/>
  <c r="CY20" i="1" s="1"/>
  <c r="CY46" i="1" s="1"/>
  <c r="K5" i="1"/>
  <c r="K31" i="1" s="1"/>
  <c r="W24" i="1"/>
  <c r="W50" i="1" s="1"/>
  <c r="U24" i="1"/>
  <c r="U50" i="1" s="1"/>
  <c r="S24" i="1"/>
  <c r="S50" i="1" s="1"/>
  <c r="Q24" i="1"/>
  <c r="Q50" i="1" s="1"/>
  <c r="O24" i="1"/>
  <c r="O50" i="1" s="1"/>
  <c r="M24" i="1"/>
  <c r="M50" i="1" s="1"/>
  <c r="K24" i="1"/>
  <c r="K50" i="1" s="1"/>
  <c r="I24" i="1"/>
  <c r="I50" i="1" s="1"/>
  <c r="G24" i="1"/>
  <c r="G50" i="1" s="1"/>
  <c r="E24" i="1"/>
  <c r="E50" i="1" s="1"/>
  <c r="C24" i="1"/>
  <c r="C50" i="1" s="1"/>
  <c r="A24" i="1"/>
  <c r="A50" i="1" s="1"/>
  <c r="W23" i="1"/>
  <c r="W49" i="1" s="1"/>
  <c r="U23" i="1"/>
  <c r="U49" i="1" s="1"/>
  <c r="S23" i="1"/>
  <c r="S49" i="1" s="1"/>
  <c r="Q23" i="1"/>
  <c r="Q49" i="1" s="1"/>
  <c r="O23" i="1"/>
  <c r="O49" i="1" s="1"/>
  <c r="M23" i="1"/>
  <c r="M49" i="1" s="1"/>
  <c r="K23" i="1"/>
  <c r="K49" i="1" s="1"/>
  <c r="I23" i="1"/>
  <c r="I49" i="1" s="1"/>
  <c r="G23" i="1"/>
  <c r="G49" i="1" s="1"/>
  <c r="E23" i="1"/>
  <c r="E49" i="1" s="1"/>
  <c r="C23" i="1"/>
  <c r="C49" i="1" s="1"/>
  <c r="A23" i="1"/>
  <c r="A49" i="1" s="1"/>
  <c r="W21" i="1"/>
  <c r="W47" i="1" s="1"/>
  <c r="U21" i="1"/>
  <c r="U47" i="1" s="1"/>
  <c r="S21" i="1"/>
  <c r="S47" i="1" s="1"/>
  <c r="Q21" i="1"/>
  <c r="Q47" i="1" s="1"/>
  <c r="O21" i="1"/>
  <c r="O47" i="1" s="1"/>
  <c r="M21" i="1"/>
  <c r="M47" i="1" s="1"/>
  <c r="K21" i="1"/>
  <c r="K47" i="1" s="1"/>
  <c r="I21" i="1"/>
  <c r="I47" i="1" s="1"/>
  <c r="G21" i="1"/>
  <c r="G47" i="1" s="1"/>
  <c r="E21" i="1"/>
  <c r="E47" i="1" s="1"/>
  <c r="C21" i="1"/>
  <c r="C47" i="1" s="1"/>
  <c r="A21" i="1"/>
  <c r="A47" i="1" s="1"/>
  <c r="W20" i="1"/>
  <c r="W46" i="1" s="1"/>
  <c r="U20" i="1"/>
  <c r="U46" i="1" s="1"/>
  <c r="S20" i="1"/>
  <c r="S46" i="1" s="1"/>
  <c r="Q20" i="1"/>
  <c r="Q46" i="1" s="1"/>
  <c r="O20" i="1"/>
  <c r="O46" i="1" s="1"/>
  <c r="M20" i="1"/>
  <c r="M46" i="1" s="1"/>
  <c r="K20" i="1"/>
  <c r="K46" i="1" s="1"/>
  <c r="I20" i="1"/>
  <c r="I46" i="1" s="1"/>
  <c r="G20" i="1"/>
  <c r="G46" i="1" s="1"/>
  <c r="E20" i="1"/>
  <c r="E46" i="1" s="1"/>
  <c r="C20" i="1"/>
  <c r="C46" i="1" s="1"/>
  <c r="A20" i="1"/>
  <c r="A46" i="1" s="1"/>
  <c r="W18" i="1"/>
  <c r="W44" i="1" s="1"/>
  <c r="U18" i="1"/>
  <c r="U44" i="1" s="1"/>
  <c r="S18" i="1"/>
  <c r="S44" i="1" s="1"/>
  <c r="Q18" i="1"/>
  <c r="Q44" i="1" s="1"/>
  <c r="O18" i="1"/>
  <c r="O44" i="1" s="1"/>
  <c r="M18" i="1"/>
  <c r="M44" i="1" s="1"/>
  <c r="K18" i="1"/>
  <c r="K44" i="1" s="1"/>
  <c r="I18" i="1"/>
  <c r="I44" i="1" s="1"/>
  <c r="G18" i="1"/>
  <c r="G44" i="1" s="1"/>
  <c r="E18" i="1"/>
  <c r="E44" i="1" s="1"/>
  <c r="C18" i="1"/>
  <c r="C44" i="1" s="1"/>
  <c r="A18" i="1"/>
  <c r="A44" i="1" s="1"/>
  <c r="W17" i="1"/>
  <c r="W43" i="1" s="1"/>
  <c r="U17" i="1"/>
  <c r="U43" i="1" s="1"/>
  <c r="S17" i="1"/>
  <c r="S43" i="1" s="1"/>
  <c r="Q17" i="1"/>
  <c r="Q43" i="1" s="1"/>
  <c r="O17" i="1"/>
  <c r="O43" i="1" s="1"/>
  <c r="M17" i="1"/>
  <c r="M43" i="1" s="1"/>
  <c r="K17" i="1"/>
  <c r="K43" i="1" s="1"/>
  <c r="I17" i="1"/>
  <c r="I43" i="1" s="1"/>
  <c r="G17" i="1"/>
  <c r="G43" i="1" s="1"/>
  <c r="E17" i="1"/>
  <c r="E43" i="1" s="1"/>
  <c r="C17" i="1"/>
  <c r="C43" i="1" s="1"/>
  <c r="A17" i="1"/>
  <c r="A43" i="1" s="1"/>
  <c r="W15" i="1"/>
  <c r="W41" i="1" s="1"/>
  <c r="U15" i="1"/>
  <c r="U41" i="1" s="1"/>
  <c r="S15" i="1"/>
  <c r="S41" i="1" s="1"/>
  <c r="Q15" i="1"/>
  <c r="Q41" i="1" s="1"/>
  <c r="O15" i="1"/>
  <c r="O41" i="1" s="1"/>
  <c r="M15" i="1"/>
  <c r="M41" i="1" s="1"/>
  <c r="K15" i="1"/>
  <c r="K41" i="1" s="1"/>
  <c r="I15" i="1"/>
  <c r="I41" i="1" s="1"/>
  <c r="G15" i="1"/>
  <c r="G41" i="1" s="1"/>
  <c r="E15" i="1"/>
  <c r="E41" i="1" s="1"/>
  <c r="C15" i="1"/>
  <c r="C41" i="1" s="1"/>
  <c r="A15" i="1"/>
  <c r="A41" i="1" s="1"/>
  <c r="W14" i="1"/>
  <c r="W40" i="1" s="1"/>
  <c r="U14" i="1"/>
  <c r="U40" i="1" s="1"/>
  <c r="S14" i="1"/>
  <c r="S40" i="1" s="1"/>
  <c r="Q14" i="1"/>
  <c r="Q40" i="1" s="1"/>
  <c r="O14" i="1"/>
  <c r="O40" i="1" s="1"/>
  <c r="M14" i="1"/>
  <c r="M40" i="1" s="1"/>
  <c r="K14" i="1"/>
  <c r="K40" i="1" s="1"/>
  <c r="I14" i="1"/>
  <c r="I40" i="1" s="1"/>
  <c r="G14" i="1"/>
  <c r="G40" i="1" s="1"/>
  <c r="E14" i="1"/>
  <c r="E40" i="1" s="1"/>
  <c r="C14" i="1"/>
  <c r="C40" i="1" s="1"/>
  <c r="A14" i="1"/>
  <c r="A40" i="1" s="1"/>
  <c r="W12" i="1"/>
  <c r="W38" i="1" s="1"/>
  <c r="U12" i="1"/>
  <c r="U38" i="1" s="1"/>
  <c r="S12" i="1"/>
  <c r="S38" i="1" s="1"/>
  <c r="Q12" i="1"/>
  <c r="Q38" i="1" s="1"/>
  <c r="O12" i="1"/>
  <c r="O38" i="1" s="1"/>
  <c r="M12" i="1"/>
  <c r="M38" i="1" s="1"/>
  <c r="K12" i="1"/>
  <c r="K38" i="1" s="1"/>
  <c r="I12" i="1"/>
  <c r="I38" i="1" s="1"/>
  <c r="G12" i="1"/>
  <c r="G38" i="1" s="1"/>
  <c r="E12" i="1"/>
  <c r="E38" i="1" s="1"/>
  <c r="C12" i="1"/>
  <c r="C38" i="1" s="1"/>
  <c r="A12" i="1"/>
  <c r="A38" i="1" s="1"/>
  <c r="W11" i="1"/>
  <c r="W37" i="1" s="1"/>
  <c r="U11" i="1"/>
  <c r="U37" i="1" s="1"/>
  <c r="S11" i="1"/>
  <c r="S37" i="1" s="1"/>
  <c r="Q11" i="1"/>
  <c r="Q37" i="1" s="1"/>
  <c r="O11" i="1"/>
  <c r="O37" i="1" s="1"/>
  <c r="M11" i="1"/>
  <c r="M37" i="1" s="1"/>
  <c r="K11" i="1"/>
  <c r="K37" i="1" s="1"/>
  <c r="I11" i="1"/>
  <c r="I37" i="1" s="1"/>
  <c r="G11" i="1"/>
  <c r="G37" i="1" s="1"/>
  <c r="E11" i="1"/>
  <c r="E37" i="1" s="1"/>
  <c r="C11" i="1"/>
  <c r="C37" i="1" s="1"/>
  <c r="A11" i="1"/>
  <c r="A37" i="1" s="1"/>
  <c r="W9" i="1"/>
  <c r="W35" i="1" s="1"/>
  <c r="U9" i="1"/>
  <c r="U35" i="1" s="1"/>
  <c r="S9" i="1"/>
  <c r="S35" i="1" s="1"/>
  <c r="Q9" i="1"/>
  <c r="Q35" i="1" s="1"/>
  <c r="O9" i="1"/>
  <c r="O35" i="1" s="1"/>
  <c r="M9" i="1"/>
  <c r="M35" i="1" s="1"/>
  <c r="K9" i="1"/>
  <c r="K35" i="1" s="1"/>
  <c r="I9" i="1"/>
  <c r="I35" i="1" s="1"/>
  <c r="G9" i="1"/>
  <c r="G35" i="1" s="1"/>
  <c r="E9" i="1"/>
  <c r="E35" i="1" s="1"/>
  <c r="C9" i="1"/>
  <c r="C35" i="1" s="1"/>
  <c r="A9" i="1"/>
  <c r="A35" i="1" s="1"/>
  <c r="W8" i="1"/>
  <c r="W34" i="1" s="1"/>
  <c r="U8" i="1"/>
  <c r="U34" i="1" s="1"/>
  <c r="S8" i="1"/>
  <c r="S34" i="1" s="1"/>
  <c r="Q8" i="1"/>
  <c r="Q34" i="1" s="1"/>
  <c r="O8" i="1"/>
  <c r="O34" i="1" s="1"/>
  <c r="M8" i="1"/>
  <c r="M34" i="1" s="1"/>
  <c r="K8" i="1"/>
  <c r="K34" i="1" s="1"/>
  <c r="I8" i="1"/>
  <c r="I34" i="1" s="1"/>
  <c r="G8" i="1"/>
  <c r="G34" i="1" s="1"/>
  <c r="E8" i="1"/>
  <c r="E34" i="1" s="1"/>
  <c r="C8" i="1"/>
  <c r="C34" i="1" s="1"/>
  <c r="A8" i="1"/>
  <c r="A34" i="1" s="1"/>
  <c r="W6" i="1"/>
  <c r="W32" i="1" s="1"/>
  <c r="U6" i="1"/>
  <c r="U32" i="1" s="1"/>
  <c r="S6" i="1"/>
  <c r="S32" i="1" s="1"/>
  <c r="Q6" i="1"/>
  <c r="Q32" i="1" s="1"/>
  <c r="O6" i="1"/>
  <c r="O32" i="1" s="1"/>
  <c r="M6" i="1"/>
  <c r="M32" i="1" s="1"/>
  <c r="K6" i="1"/>
  <c r="K32" i="1" s="1"/>
  <c r="I6" i="1"/>
  <c r="I32" i="1" s="1"/>
  <c r="G6" i="1"/>
  <c r="G32" i="1" s="1"/>
  <c r="E6" i="1"/>
  <c r="E32" i="1" s="1"/>
  <c r="C6" i="1"/>
  <c r="C32" i="1" s="1"/>
  <c r="A6" i="1"/>
  <c r="A32" i="1" s="1"/>
  <c r="W5" i="1"/>
  <c r="W31" i="1" s="1"/>
  <c r="U5" i="1"/>
  <c r="U31" i="1" s="1"/>
  <c r="S5" i="1"/>
  <c r="S31" i="1" s="1"/>
  <c r="Q5" i="1"/>
  <c r="Q31" i="1" s="1"/>
  <c r="O5" i="1"/>
  <c r="O31" i="1" s="1"/>
  <c r="M5" i="1"/>
  <c r="M31" i="1" s="1"/>
  <c r="I5" i="1"/>
  <c r="I31" i="1" s="1"/>
  <c r="G5" i="1"/>
  <c r="G31" i="1" s="1"/>
  <c r="E5" i="1"/>
  <c r="E31" i="1" s="1"/>
  <c r="C5" i="1"/>
  <c r="C31" i="1" s="1"/>
  <c r="A5" i="1"/>
  <c r="A31" i="1" s="1"/>
  <c r="W3" i="1"/>
  <c r="W29" i="1" s="1"/>
  <c r="U3" i="1"/>
  <c r="U29" i="1" s="1"/>
  <c r="S3" i="1"/>
  <c r="S29" i="1" s="1"/>
  <c r="Q3" i="1"/>
  <c r="Q29" i="1" s="1"/>
  <c r="W2" i="1"/>
  <c r="W28" i="1" s="1"/>
  <c r="U2" i="1"/>
  <c r="U28" i="1" s="1"/>
  <c r="S2" i="1"/>
  <c r="S28" i="1" s="1"/>
  <c r="Q2" i="1"/>
  <c r="Q28" i="1" s="1"/>
  <c r="O3" i="1"/>
  <c r="O29" i="1" s="1"/>
  <c r="M3" i="1"/>
  <c r="M29" i="1" s="1"/>
  <c r="K3" i="1"/>
  <c r="K29" i="1" s="1"/>
  <c r="I3" i="1"/>
  <c r="I29" i="1" s="1"/>
  <c r="O2" i="1"/>
  <c r="O28" i="1" s="1"/>
  <c r="M2" i="1"/>
  <c r="M28" i="1" s="1"/>
  <c r="K2" i="1"/>
  <c r="K28" i="1" s="1"/>
  <c r="G3" i="1"/>
  <c r="G29" i="1" s="1"/>
  <c r="G2" i="1"/>
  <c r="G28" i="1" s="1"/>
  <c r="E3" i="1"/>
  <c r="E29" i="1" s="1"/>
  <c r="E2" i="1"/>
  <c r="E28" i="1" s="1"/>
  <c r="C3" i="1"/>
  <c r="C29" i="1" s="1"/>
  <c r="C2" i="1"/>
  <c r="C28" i="1" s="1"/>
  <c r="A3" i="1"/>
  <c r="A29" i="1" s="1"/>
  <c r="CE9" i="1" l="1"/>
  <c r="CE35" i="1" s="1"/>
  <c r="CE36" i="1" s="1"/>
  <c r="BU24" i="1"/>
  <c r="BU50" i="1" s="1"/>
  <c r="BU51" i="1" s="1"/>
  <c r="CI49" i="1"/>
  <c r="CI51" i="1" s="1"/>
  <c r="CK49" i="1"/>
  <c r="CK51" i="1" s="1"/>
  <c r="CE49" i="1"/>
  <c r="CE51" i="1" s="1"/>
  <c r="BM34" i="1"/>
  <c r="BM36" i="1" s="1"/>
  <c r="AW40" i="1"/>
  <c r="AW42" i="1" s="1"/>
  <c r="BM46" i="1"/>
  <c r="BM48" i="1" s="1"/>
  <c r="BE49" i="1"/>
  <c r="BE51" i="1" s="1"/>
  <c r="BO34" i="1"/>
  <c r="BO36" i="1" s="1"/>
  <c r="BG37" i="1"/>
  <c r="BG39" i="1" s="1"/>
  <c r="AY40" i="1"/>
  <c r="AY42" i="1" s="1"/>
  <c r="BO46" i="1"/>
  <c r="BO48" i="1" s="1"/>
  <c r="BG49" i="1"/>
  <c r="BG51" i="1" s="1"/>
  <c r="BQ34" i="1"/>
  <c r="BQ36" i="1" s="1"/>
  <c r="BI37" i="1"/>
  <c r="BI39" i="1" s="1"/>
  <c r="BA40" i="1"/>
  <c r="BA42" i="1" s="1"/>
  <c r="BQ46" i="1"/>
  <c r="BQ48" i="1" s="1"/>
  <c r="BI49" i="1"/>
  <c r="BI51" i="1" s="1"/>
  <c r="AY28" i="1"/>
  <c r="AY30" i="1" s="1"/>
  <c r="BS34" i="1"/>
  <c r="BS36" i="1" s="1"/>
  <c r="BK37" i="1"/>
  <c r="BK39" i="1" s="1"/>
  <c r="BC40" i="1"/>
  <c r="BC42" i="1" s="1"/>
  <c r="BS46" i="1"/>
  <c r="BS48" i="1" s="1"/>
  <c r="BK49" i="1"/>
  <c r="BK51" i="1" s="1"/>
  <c r="BA28" i="1"/>
  <c r="BA30" i="1" s="1"/>
  <c r="AW31" i="1"/>
  <c r="AW33" i="1" s="1"/>
  <c r="BM37" i="1"/>
  <c r="BM39" i="1" s="1"/>
  <c r="BE40" i="1"/>
  <c r="BE42" i="1" s="1"/>
  <c r="AW43" i="1"/>
  <c r="AW45" i="1" s="1"/>
  <c r="BM49" i="1"/>
  <c r="BM51" i="1" s="1"/>
  <c r="BC28" i="1"/>
  <c r="BC30" i="1" s="1"/>
  <c r="AY31" i="1"/>
  <c r="AY33" i="1" s="1"/>
  <c r="BO37" i="1"/>
  <c r="BO39" i="1" s="1"/>
  <c r="BG40" i="1"/>
  <c r="BG42" i="1" s="1"/>
  <c r="AY43" i="1"/>
  <c r="AY45" i="1" s="1"/>
  <c r="BO49" i="1"/>
  <c r="BO51" i="1" s="1"/>
  <c r="BE28" i="1"/>
  <c r="BE30" i="1" s="1"/>
  <c r="BA31" i="1"/>
  <c r="BA33" i="1" s="1"/>
  <c r="BQ37" i="1"/>
  <c r="BQ39" i="1" s="1"/>
  <c r="BI40" i="1"/>
  <c r="BI42" i="1" s="1"/>
  <c r="BA43" i="1"/>
  <c r="BA45" i="1" s="1"/>
  <c r="BQ49" i="1"/>
  <c r="BQ51" i="1" s="1"/>
  <c r="BG28" i="1"/>
  <c r="BG30" i="1" s="1"/>
  <c r="BC31" i="1"/>
  <c r="BC33" i="1" s="1"/>
  <c r="BS37" i="1"/>
  <c r="BS39" i="1" s="1"/>
  <c r="BK40" i="1"/>
  <c r="BK42" i="1" s="1"/>
  <c r="BC43" i="1"/>
  <c r="BC45" i="1" s="1"/>
  <c r="BS49" i="1"/>
  <c r="BS51" i="1" s="1"/>
  <c r="BI28" i="1"/>
  <c r="BI30" i="1" s="1"/>
  <c r="AW34" i="1"/>
  <c r="AW36" i="1" s="1"/>
  <c r="BM40" i="1"/>
  <c r="BM42" i="1" s="1"/>
  <c r="BE43" i="1"/>
  <c r="BE45" i="1" s="1"/>
  <c r="AW46" i="1"/>
  <c r="AW48" i="1" s="1"/>
  <c r="BK28" i="1"/>
  <c r="BK30" i="1" s="1"/>
  <c r="BG31" i="1"/>
  <c r="BG33" i="1" s="1"/>
  <c r="AY34" i="1"/>
  <c r="AY36" i="1" s="1"/>
  <c r="BO40" i="1"/>
  <c r="BO42" i="1" s="1"/>
  <c r="BG43" i="1"/>
  <c r="BG45" i="1" s="1"/>
  <c r="AY46" i="1"/>
  <c r="AY48" i="1" s="1"/>
  <c r="BM28" i="1"/>
  <c r="BM30" i="1" s="1"/>
  <c r="BI31" i="1"/>
  <c r="BI33" i="1" s="1"/>
  <c r="BA34" i="1"/>
  <c r="BA36" i="1" s="1"/>
  <c r="BQ40" i="1"/>
  <c r="BQ42" i="1" s="1"/>
  <c r="BI43" i="1"/>
  <c r="BI45" i="1" s="1"/>
  <c r="BA46" i="1"/>
  <c r="BA48" i="1" s="1"/>
  <c r="BO28" i="1"/>
  <c r="BO30" i="1" s="1"/>
  <c r="BK31" i="1"/>
  <c r="BK33" i="1" s="1"/>
  <c r="BC34" i="1"/>
  <c r="BC36" i="1" s="1"/>
  <c r="BS40" i="1"/>
  <c r="BS42" i="1" s="1"/>
  <c r="BK43" i="1"/>
  <c r="BK45" i="1" s="1"/>
  <c r="BC46" i="1"/>
  <c r="BC48" i="1" s="1"/>
  <c r="CE6" i="1"/>
  <c r="CE32" i="1" s="1"/>
  <c r="CE33" i="1" s="1"/>
  <c r="CG9" i="1"/>
  <c r="CG35" i="1" s="1"/>
  <c r="CG36" i="1" s="1"/>
  <c r="CK34" i="1"/>
  <c r="CK36" i="1" s="1"/>
  <c r="BQ28" i="1"/>
  <c r="BQ30" i="1" s="1"/>
  <c r="BM31" i="1"/>
  <c r="BM33" i="1" s="1"/>
  <c r="BE34" i="1"/>
  <c r="BE36" i="1" s="1"/>
  <c r="AW37" i="1"/>
  <c r="AW39" i="1" s="1"/>
  <c r="BM43" i="1"/>
  <c r="BM45" i="1" s="1"/>
  <c r="BE46" i="1"/>
  <c r="BE48" i="1" s="1"/>
  <c r="AW49" i="1"/>
  <c r="AW51" i="1" s="1"/>
  <c r="CG6" i="1"/>
  <c r="CG32" i="1" s="1"/>
  <c r="CG33" i="1" s="1"/>
  <c r="BS28" i="1"/>
  <c r="BS30" i="1" s="1"/>
  <c r="BO31" i="1"/>
  <c r="BO33" i="1" s="1"/>
  <c r="BG34" i="1"/>
  <c r="BG36" i="1" s="1"/>
  <c r="AY37" i="1"/>
  <c r="AY39" i="1" s="1"/>
  <c r="BO43" i="1"/>
  <c r="BO45" i="1" s="1"/>
  <c r="BG46" i="1"/>
  <c r="BG48" i="1" s="1"/>
  <c r="AY49" i="1"/>
  <c r="AY51" i="1" s="1"/>
  <c r="CI6" i="1"/>
  <c r="CI32" i="1" s="1"/>
  <c r="CI33" i="1" s="1"/>
  <c r="CA46" i="1"/>
  <c r="CA48" i="1" s="1"/>
  <c r="BQ31" i="1"/>
  <c r="BQ33" i="1" s="1"/>
  <c r="BI34" i="1"/>
  <c r="BI36" i="1" s="1"/>
  <c r="BA37" i="1"/>
  <c r="BA39" i="1" s="1"/>
  <c r="BQ43" i="1"/>
  <c r="BQ45" i="1" s="1"/>
  <c r="BI46" i="1"/>
  <c r="BI48" i="1" s="1"/>
  <c r="BA49" i="1"/>
  <c r="BA51" i="1" s="1"/>
  <c r="CG3" i="1"/>
  <c r="CG29" i="1" s="1"/>
  <c r="CG30" i="1" s="1"/>
  <c r="CC49" i="1"/>
  <c r="CC51" i="1" s="1"/>
  <c r="BS31" i="1"/>
  <c r="BS33" i="1" s="1"/>
  <c r="BK34" i="1"/>
  <c r="BK36" i="1" s="1"/>
  <c r="BC37" i="1"/>
  <c r="BC39" i="1" s="1"/>
  <c r="BS43" i="1"/>
  <c r="BS45" i="1" s="1"/>
  <c r="BK46" i="1"/>
  <c r="BK48" i="1" s="1"/>
  <c r="BU43" i="1"/>
  <c r="BU45" i="1" s="1"/>
  <c r="CK46" i="1"/>
  <c r="CK48" i="1" s="1"/>
  <c r="CK3" i="1"/>
  <c r="CK29" i="1" s="1"/>
  <c r="CK30" i="1" s="1"/>
  <c r="CQ34" i="1"/>
  <c r="CQ36" i="1" s="1"/>
  <c r="CM49" i="1"/>
  <c r="CM51" i="1" s="1"/>
  <c r="CI3" i="1"/>
  <c r="CI29" i="1" s="1"/>
  <c r="CI30" i="1" s="1"/>
  <c r="CO34" i="1"/>
  <c r="CO36" i="1" s="1"/>
  <c r="CC37" i="1"/>
  <c r="CC39" i="1" s="1"/>
  <c r="CE37" i="1"/>
  <c r="CE39" i="1" s="1"/>
  <c r="CG37" i="1"/>
  <c r="CG39" i="1" s="1"/>
  <c r="CM34" i="1"/>
  <c r="CM36" i="1" s="1"/>
  <c r="BW40" i="1"/>
  <c r="BW42" i="1" s="1"/>
  <c r="CM46" i="1"/>
  <c r="CM48" i="1" s="1"/>
  <c r="BY40" i="1"/>
  <c r="BY42" i="1" s="1"/>
  <c r="CO46" i="1"/>
  <c r="CO48" i="1" s="1"/>
  <c r="CG49" i="1"/>
  <c r="CG51" i="1" s="1"/>
  <c r="BW28" i="1"/>
  <c r="BW30" i="1" s="1"/>
  <c r="CI37" i="1"/>
  <c r="CI39" i="1" s="1"/>
  <c r="CA40" i="1"/>
  <c r="CA42" i="1" s="1"/>
  <c r="CQ46" i="1"/>
  <c r="CQ48" i="1" s="1"/>
  <c r="BY28" i="1"/>
  <c r="BY30" i="1" s="1"/>
  <c r="BU31" i="1"/>
  <c r="BU33" i="1" s="1"/>
  <c r="CK37" i="1"/>
  <c r="CK39" i="1" s="1"/>
  <c r="CC40" i="1"/>
  <c r="CC42" i="1" s="1"/>
  <c r="CA28" i="1"/>
  <c r="CA30" i="1" s="1"/>
  <c r="BW31" i="1"/>
  <c r="BW33" i="1" s="1"/>
  <c r="CM37" i="1"/>
  <c r="CM39" i="1" s="1"/>
  <c r="BW43" i="1"/>
  <c r="BW45" i="1" s="1"/>
  <c r="CC28" i="1"/>
  <c r="CC30" i="1" s="1"/>
  <c r="BY31" i="1"/>
  <c r="BY33" i="1" s="1"/>
  <c r="CO37" i="1"/>
  <c r="CO39" i="1" s="1"/>
  <c r="BY43" i="1"/>
  <c r="BY45" i="1" s="1"/>
  <c r="CO49" i="1"/>
  <c r="CO51" i="1" s="1"/>
  <c r="CE28" i="1"/>
  <c r="CE30" i="1" s="1"/>
  <c r="CA31" i="1"/>
  <c r="CA33" i="1" s="1"/>
  <c r="CQ37" i="1"/>
  <c r="CQ39" i="1" s="1"/>
  <c r="CA43" i="1"/>
  <c r="CA45" i="1" s="1"/>
  <c r="CQ49" i="1"/>
  <c r="CQ51" i="1" s="1"/>
  <c r="BU34" i="1"/>
  <c r="BU36" i="1" s="1"/>
  <c r="CC43" i="1"/>
  <c r="CC45" i="1" s="1"/>
  <c r="BU46" i="1"/>
  <c r="BU48" i="1" s="1"/>
  <c r="BW34" i="1"/>
  <c r="BW36" i="1" s="1"/>
  <c r="CM40" i="1"/>
  <c r="CM42" i="1" s="1"/>
  <c r="BW46" i="1"/>
  <c r="BW48" i="1" s="1"/>
  <c r="BY34" i="1"/>
  <c r="BY36" i="1" s="1"/>
  <c r="CG43" i="1"/>
  <c r="CG45" i="1" s="1"/>
  <c r="BY46" i="1"/>
  <c r="BY48" i="1" s="1"/>
  <c r="CA34" i="1"/>
  <c r="CA36" i="1" s="1"/>
  <c r="CI43" i="1"/>
  <c r="CI45" i="1" s="1"/>
  <c r="CO28" i="1"/>
  <c r="CO30" i="1" s="1"/>
  <c r="CK31" i="1"/>
  <c r="CK33" i="1" s="1"/>
  <c r="CC34" i="1"/>
  <c r="CC36" i="1" s="1"/>
  <c r="BU37" i="1"/>
  <c r="BU39" i="1" s="1"/>
  <c r="CK43" i="1"/>
  <c r="CK45" i="1" s="1"/>
  <c r="CQ28" i="1"/>
  <c r="CQ30" i="1" s="1"/>
  <c r="CM31" i="1"/>
  <c r="CM33" i="1" s="1"/>
  <c r="BW37" i="1"/>
  <c r="BW39" i="1" s="1"/>
  <c r="CM43" i="1"/>
  <c r="CM45" i="1" s="1"/>
  <c r="BW49" i="1"/>
  <c r="BW51" i="1" s="1"/>
  <c r="CO31" i="1"/>
  <c r="CO33" i="1" s="1"/>
  <c r="BY37" i="1"/>
  <c r="BY39" i="1" s="1"/>
  <c r="CO43" i="1"/>
  <c r="CO45" i="1" s="1"/>
  <c r="CG46" i="1"/>
  <c r="CG48" i="1" s="1"/>
  <c r="BY49" i="1"/>
  <c r="BY51" i="1" s="1"/>
  <c r="BU40" i="1"/>
  <c r="BU42" i="1" s="1"/>
  <c r="CQ31" i="1"/>
  <c r="CQ33" i="1" s="1"/>
  <c r="CA37" i="1"/>
  <c r="CA39" i="1" s="1"/>
  <c r="CQ43" i="1"/>
  <c r="CQ45" i="1" s="1"/>
  <c r="CI46" i="1"/>
  <c r="CI48" i="1" s="1"/>
  <c r="CA49" i="1"/>
  <c r="CA51" i="1" s="1"/>
  <c r="CC6" i="1"/>
  <c r="CC32" i="1" s="1"/>
  <c r="CC33" i="1" s="1"/>
  <c r="CI9" i="1"/>
  <c r="CI35" i="1" s="1"/>
  <c r="CI36" i="1" s="1"/>
  <c r="CE15" i="1"/>
  <c r="CE41" i="1" s="1"/>
  <c r="CE42" i="1" s="1"/>
  <c r="CG15" i="1"/>
  <c r="CG41" i="1" s="1"/>
  <c r="CG42" i="1" s="1"/>
  <c r="CC21" i="1"/>
  <c r="CC47" i="1" s="1"/>
  <c r="CC48" i="1" s="1"/>
  <c r="CI15" i="1"/>
  <c r="CI41" i="1" s="1"/>
  <c r="CI42" i="1" s="1"/>
  <c r="CE18" i="1"/>
  <c r="CE44" i="1" s="1"/>
  <c r="CE45" i="1" s="1"/>
  <c r="CE21" i="1"/>
  <c r="CE47" i="1" s="1"/>
  <c r="CE48" i="1" s="1"/>
  <c r="CK15" i="1"/>
  <c r="CK41" i="1" s="1"/>
  <c r="CK42" i="1" s="1"/>
  <c r="CM3" i="1"/>
  <c r="CM29" i="1" s="1"/>
  <c r="CM30" i="1" s="1"/>
  <c r="CO15" i="1"/>
  <c r="CO41" i="1" s="1"/>
  <c r="CO42" i="1" s="1"/>
  <c r="CQ15" i="1"/>
  <c r="CQ41" i="1" s="1"/>
  <c r="CQ42" i="1" s="1"/>
  <c r="BU3" i="1"/>
  <c r="BU29" i="1" s="1"/>
  <c r="BU30" i="1" s="1"/>
  <c r="BC24" i="1"/>
  <c r="BC50" i="1" s="1"/>
  <c r="BC51" i="1" s="1"/>
  <c r="BE12" i="1"/>
  <c r="BE38" i="1" s="1"/>
  <c r="BE39" i="1" s="1"/>
  <c r="BE6" i="1"/>
  <c r="BE32" i="1" s="1"/>
  <c r="BE33" i="1" s="1"/>
  <c r="AW28" i="1"/>
  <c r="AW30" i="1" s="1"/>
  <c r="CY43" i="1"/>
  <c r="CY14" i="1"/>
  <c r="CY40" i="1" s="1"/>
  <c r="CY37" i="1"/>
  <c r="CY34" i="1"/>
  <c r="CY31" i="1"/>
  <c r="CU49" i="1"/>
  <c r="DD49" i="1" s="1"/>
  <c r="CU46" i="1"/>
  <c r="DD46" i="1" s="1"/>
  <c r="CU43" i="1"/>
  <c r="CU40" i="1"/>
  <c r="CU37" i="1"/>
  <c r="CU34" i="1"/>
  <c r="CU31" i="1"/>
  <c r="CY28" i="1"/>
  <c r="CU28" i="1"/>
  <c r="C51" i="1"/>
  <c r="AA23" i="1" s="1"/>
  <c r="AA49" i="1" s="1"/>
  <c r="G51" i="1"/>
  <c r="AE24" i="1" s="1"/>
  <c r="AE50" i="1" s="1"/>
  <c r="Q51" i="1"/>
  <c r="AO23" i="1" s="1"/>
  <c r="AO49" i="1" s="1"/>
  <c r="E51" i="1"/>
  <c r="AC23" i="1" s="1"/>
  <c r="AC49" i="1" s="1"/>
  <c r="S51" i="1"/>
  <c r="AQ23" i="1" s="1"/>
  <c r="AQ49" i="1" s="1"/>
  <c r="A45" i="1"/>
  <c r="Y17" i="1" s="1"/>
  <c r="Y43" i="1" s="1"/>
  <c r="Q48" i="1"/>
  <c r="AO20" i="1" s="1"/>
  <c r="AO46" i="1" s="1"/>
  <c r="A51" i="1"/>
  <c r="Y23" i="1" s="1"/>
  <c r="Y49" i="1" s="1"/>
  <c r="O51" i="1"/>
  <c r="AM23" i="1" s="1"/>
  <c r="AM49" i="1" s="1"/>
  <c r="K51" i="1"/>
  <c r="AI24" i="1" s="1"/>
  <c r="AI50" i="1" s="1"/>
  <c r="M51" i="1"/>
  <c r="AK24" i="1" s="1"/>
  <c r="AK50" i="1" s="1"/>
  <c r="U51" i="1"/>
  <c r="AS24" i="1" s="1"/>
  <c r="AS50" i="1" s="1"/>
  <c r="W51" i="1"/>
  <c r="AU23" i="1" s="1"/>
  <c r="AU49" i="1" s="1"/>
  <c r="I51" i="1"/>
  <c r="AG23" i="1" s="1"/>
  <c r="AG49" i="1" s="1"/>
  <c r="K42" i="1"/>
  <c r="AI14" i="1" s="1"/>
  <c r="AI40" i="1" s="1"/>
  <c r="W48" i="1"/>
  <c r="AU20" i="1" s="1"/>
  <c r="AU46" i="1" s="1"/>
  <c r="I45" i="1"/>
  <c r="AG17" i="1" s="1"/>
  <c r="AG43" i="1" s="1"/>
  <c r="A48" i="1"/>
  <c r="Y21" i="1" s="1"/>
  <c r="Y47" i="1" s="1"/>
  <c r="I48" i="1"/>
  <c r="AG20" i="1" s="1"/>
  <c r="AG46" i="1" s="1"/>
  <c r="G48" i="1"/>
  <c r="AE21" i="1" s="1"/>
  <c r="AE47" i="1" s="1"/>
  <c r="C48" i="1"/>
  <c r="AA21" i="1" s="1"/>
  <c r="AA47" i="1" s="1"/>
  <c r="O48" i="1"/>
  <c r="AM21" i="1" s="1"/>
  <c r="AM47" i="1" s="1"/>
  <c r="K48" i="1"/>
  <c r="AI20" i="1" s="1"/>
  <c r="AI46" i="1" s="1"/>
  <c r="S48" i="1"/>
  <c r="AQ21" i="1" s="1"/>
  <c r="AQ47" i="1" s="1"/>
  <c r="U48" i="1"/>
  <c r="AS21" i="1" s="1"/>
  <c r="AS47" i="1" s="1"/>
  <c r="E48" i="1"/>
  <c r="AC20" i="1" s="1"/>
  <c r="AC46" i="1" s="1"/>
  <c r="M48" i="1"/>
  <c r="AK21" i="1" s="1"/>
  <c r="AK47" i="1" s="1"/>
  <c r="Q45" i="1"/>
  <c r="AO17" i="1" s="1"/>
  <c r="AO43" i="1" s="1"/>
  <c r="G45" i="1"/>
  <c r="AE17" i="1" s="1"/>
  <c r="AE43" i="1" s="1"/>
  <c r="C45" i="1"/>
  <c r="AA18" i="1" s="1"/>
  <c r="AA44" i="1" s="1"/>
  <c r="E45" i="1"/>
  <c r="AC17" i="1" s="1"/>
  <c r="AC43" i="1" s="1"/>
  <c r="K45" i="1"/>
  <c r="AI17" i="1" s="1"/>
  <c r="AI43" i="1" s="1"/>
  <c r="O45" i="1"/>
  <c r="AM17" i="1" s="1"/>
  <c r="AM43" i="1" s="1"/>
  <c r="S45" i="1"/>
  <c r="AQ18" i="1" s="1"/>
  <c r="AQ44" i="1" s="1"/>
  <c r="W45" i="1"/>
  <c r="AU18" i="1" s="1"/>
  <c r="AU44" i="1" s="1"/>
  <c r="U45" i="1"/>
  <c r="AS18" i="1" s="1"/>
  <c r="AS44" i="1" s="1"/>
  <c r="M45" i="1"/>
  <c r="AK17" i="1" s="1"/>
  <c r="AK43" i="1" s="1"/>
  <c r="W39" i="1"/>
  <c r="AU12" i="1" s="1"/>
  <c r="AU38" i="1" s="1"/>
  <c r="O42" i="1"/>
  <c r="AM15" i="1" s="1"/>
  <c r="AM41" i="1" s="1"/>
  <c r="Q42" i="1"/>
  <c r="AO14" i="1" s="1"/>
  <c r="AO40" i="1" s="1"/>
  <c r="U42" i="1"/>
  <c r="AS14" i="1" s="1"/>
  <c r="AS40" i="1" s="1"/>
  <c r="S42" i="1"/>
  <c r="AQ15" i="1" s="1"/>
  <c r="AQ41" i="1" s="1"/>
  <c r="C42" i="1"/>
  <c r="AA14" i="1" s="1"/>
  <c r="AA40" i="1" s="1"/>
  <c r="E42" i="1"/>
  <c r="AC15" i="1" s="1"/>
  <c r="AC41" i="1" s="1"/>
  <c r="M42" i="1"/>
  <c r="AK15" i="1" s="1"/>
  <c r="AK41" i="1" s="1"/>
  <c r="I42" i="1"/>
  <c r="AG14" i="1" s="1"/>
  <c r="AG40" i="1" s="1"/>
  <c r="G42" i="1"/>
  <c r="AE15" i="1" s="1"/>
  <c r="AE41" i="1" s="1"/>
  <c r="W42" i="1"/>
  <c r="AU15" i="1" s="1"/>
  <c r="AU41" i="1" s="1"/>
  <c r="A42" i="1"/>
  <c r="Y15" i="1" s="1"/>
  <c r="Y41" i="1" s="1"/>
  <c r="Q39" i="1"/>
  <c r="AO12" i="1" s="1"/>
  <c r="AO38" i="1" s="1"/>
  <c r="Q36" i="1"/>
  <c r="AO9" i="1" s="1"/>
  <c r="AO35" i="1" s="1"/>
  <c r="C39" i="1"/>
  <c r="AA11" i="1" s="1"/>
  <c r="AA37" i="1" s="1"/>
  <c r="G39" i="1"/>
  <c r="AE12" i="1" s="1"/>
  <c r="AE38" i="1" s="1"/>
  <c r="K39" i="1"/>
  <c r="AI11" i="1" s="1"/>
  <c r="AI37" i="1" s="1"/>
  <c r="O39" i="1"/>
  <c r="AM11" i="1" s="1"/>
  <c r="AM37" i="1" s="1"/>
  <c r="E39" i="1"/>
  <c r="AC11" i="1" s="1"/>
  <c r="AC37" i="1" s="1"/>
  <c r="M39" i="1"/>
  <c r="AK11" i="1" s="1"/>
  <c r="AK37" i="1" s="1"/>
  <c r="I39" i="1"/>
  <c r="AG11" i="1" s="1"/>
  <c r="AG37" i="1" s="1"/>
  <c r="A39" i="1"/>
  <c r="Y12" i="1" s="1"/>
  <c r="Y38" i="1" s="1"/>
  <c r="S39" i="1"/>
  <c r="AQ12" i="1" s="1"/>
  <c r="AQ38" i="1" s="1"/>
  <c r="U39" i="1"/>
  <c r="AS12" i="1" s="1"/>
  <c r="AS38" i="1" s="1"/>
  <c r="S36" i="1"/>
  <c r="AQ8" i="1" s="1"/>
  <c r="AQ34" i="1" s="1"/>
  <c r="U36" i="1"/>
  <c r="AS8" i="1" s="1"/>
  <c r="AS34" i="1" s="1"/>
  <c r="W36" i="1"/>
  <c r="AU8" i="1" s="1"/>
  <c r="AU34" i="1" s="1"/>
  <c r="I36" i="1"/>
  <c r="AG8" i="1" s="1"/>
  <c r="AG34" i="1" s="1"/>
  <c r="M36" i="1"/>
  <c r="AK8" i="1" s="1"/>
  <c r="AK34" i="1" s="1"/>
  <c r="S33" i="1"/>
  <c r="AQ6" i="1" s="1"/>
  <c r="AQ32" i="1" s="1"/>
  <c r="K36" i="1"/>
  <c r="AI8" i="1" s="1"/>
  <c r="AI34" i="1" s="1"/>
  <c r="G36" i="1"/>
  <c r="AE9" i="1" s="1"/>
  <c r="AE35" i="1" s="1"/>
  <c r="C36" i="1"/>
  <c r="AA9" i="1" s="1"/>
  <c r="AA35" i="1" s="1"/>
  <c r="E36" i="1"/>
  <c r="AC9" i="1" s="1"/>
  <c r="AC35" i="1" s="1"/>
  <c r="O36" i="1"/>
  <c r="AM8" i="1" s="1"/>
  <c r="AM34" i="1" s="1"/>
  <c r="A36" i="1"/>
  <c r="Y9" i="1" s="1"/>
  <c r="Y35" i="1" s="1"/>
  <c r="Q33" i="1"/>
  <c r="AO5" i="1" s="1"/>
  <c r="AO31" i="1" s="1"/>
  <c r="A33" i="1"/>
  <c r="Y5" i="1" s="1"/>
  <c r="Y31" i="1" s="1"/>
  <c r="E33" i="1"/>
  <c r="AC5" i="1" s="1"/>
  <c r="AC31" i="1" s="1"/>
  <c r="M33" i="1"/>
  <c r="AK6" i="1" s="1"/>
  <c r="AK32" i="1" s="1"/>
  <c r="K33" i="1"/>
  <c r="AI5" i="1" s="1"/>
  <c r="AI31" i="1" s="1"/>
  <c r="O33" i="1"/>
  <c r="AM5" i="1" s="1"/>
  <c r="AM31" i="1" s="1"/>
  <c r="I33" i="1"/>
  <c r="AG6" i="1" s="1"/>
  <c r="AG32" i="1" s="1"/>
  <c r="U33" i="1"/>
  <c r="AS5" i="1" s="1"/>
  <c r="AS31" i="1" s="1"/>
  <c r="W33" i="1"/>
  <c r="AU6" i="1" s="1"/>
  <c r="AU32" i="1" s="1"/>
  <c r="C33" i="1"/>
  <c r="AA6" i="1" s="1"/>
  <c r="AA32" i="1" s="1"/>
  <c r="G33" i="1"/>
  <c r="AE5" i="1" s="1"/>
  <c r="AE31" i="1" s="1"/>
  <c r="A30" i="1"/>
  <c r="C30" i="1"/>
  <c r="Q30" i="1"/>
  <c r="S30" i="1"/>
  <c r="U30" i="1"/>
  <c r="W30" i="1"/>
  <c r="M30" i="1"/>
  <c r="O30" i="1"/>
  <c r="I30" i="1"/>
  <c r="K30" i="1"/>
  <c r="E30" i="1"/>
  <c r="G30" i="1"/>
  <c r="DD43" i="1" l="1"/>
  <c r="DD40" i="1"/>
  <c r="DD37" i="1"/>
  <c r="AE23" i="1"/>
  <c r="AE49" i="1" s="1"/>
  <c r="DD34" i="1"/>
  <c r="DD31" i="1"/>
  <c r="AS20" i="1"/>
  <c r="AS46" i="1" s="1"/>
  <c r="AS48" i="1" s="1"/>
  <c r="AK12" i="1"/>
  <c r="AK38" i="1" s="1"/>
  <c r="AK39" i="1" s="1"/>
  <c r="DD28" i="1"/>
  <c r="AC14" i="1"/>
  <c r="AC40" i="1" s="1"/>
  <c r="AC42" i="1" s="1"/>
  <c r="AK9" i="1"/>
  <c r="AK35" i="1" s="1"/>
  <c r="AK36" i="1" s="1"/>
  <c r="AQ11" i="1"/>
  <c r="AQ37" i="1" s="1"/>
  <c r="AQ39" i="1" s="1"/>
  <c r="AI15" i="1"/>
  <c r="AI41" i="1" s="1"/>
  <c r="AI42" i="1" s="1"/>
  <c r="AM9" i="1"/>
  <c r="AM35" i="1" s="1"/>
  <c r="AM36" i="1" s="1"/>
  <c r="AK23" i="1"/>
  <c r="AK49" i="1" s="1"/>
  <c r="AK51" i="1" s="1"/>
  <c r="AA15" i="1"/>
  <c r="AA41" i="1" s="1"/>
  <c r="AA42" i="1" s="1"/>
  <c r="AK20" i="1"/>
  <c r="AK46" i="1" s="1"/>
  <c r="AK48" i="1" s="1"/>
  <c r="AK14" i="1"/>
  <c r="AK40" i="1" s="1"/>
  <c r="AK42" i="1" s="1"/>
  <c r="AI9" i="1"/>
  <c r="AI35" i="1" s="1"/>
  <c r="AI36" i="1" s="1"/>
  <c r="AK18" i="1"/>
  <c r="AK44" i="1" s="1"/>
  <c r="AK45" i="1" s="1"/>
  <c r="AU21" i="1"/>
  <c r="AU47" i="1" s="1"/>
  <c r="AU48" i="1" s="1"/>
  <c r="AM12" i="1"/>
  <c r="AM38" i="1" s="1"/>
  <c r="AM39" i="1" s="1"/>
  <c r="AI21" i="1"/>
  <c r="AI47" i="1" s="1"/>
  <c r="AI48" i="1" s="1"/>
  <c r="AI12" i="1"/>
  <c r="AI38" i="1" s="1"/>
  <c r="AI39" i="1" s="1"/>
  <c r="AQ17" i="1"/>
  <c r="AQ43" i="1" s="1"/>
  <c r="AQ45" i="1" s="1"/>
  <c r="AC12" i="1"/>
  <c r="AC38" i="1" s="1"/>
  <c r="AC39" i="1" s="1"/>
  <c r="AK5" i="1"/>
  <c r="AK31" i="1" s="1"/>
  <c r="AK33" i="1" s="1"/>
  <c r="AI18" i="1"/>
  <c r="AI44" i="1" s="1"/>
  <c r="AI45" i="1" s="1"/>
  <c r="AU24" i="1"/>
  <c r="AU50" i="1" s="1"/>
  <c r="AU51" i="1" s="1"/>
  <c r="AI6" i="1"/>
  <c r="AI32" i="1" s="1"/>
  <c r="AI33" i="1" s="1"/>
  <c r="AG15" i="1"/>
  <c r="AG41" i="1" s="1"/>
  <c r="AG42" i="1" s="1"/>
  <c r="Y14" i="1"/>
  <c r="Y40" i="1" s="1"/>
  <c r="Y42" i="1" s="1"/>
  <c r="AC24" i="1"/>
  <c r="AC50" i="1" s="1"/>
  <c r="AC51" i="1" s="1"/>
  <c r="AA24" i="1"/>
  <c r="AA50" i="1" s="1"/>
  <c r="AA51" i="1" s="1"/>
  <c r="AE14" i="1"/>
  <c r="AE40" i="1" s="1"/>
  <c r="AE42" i="1" s="1"/>
  <c r="AG12" i="1"/>
  <c r="AG38" i="1" s="1"/>
  <c r="AG39" i="1" s="1"/>
  <c r="AC18" i="1"/>
  <c r="AC44" i="1" s="1"/>
  <c r="AC45" i="1" s="1"/>
  <c r="AE20" i="1"/>
  <c r="AE46" i="1" s="1"/>
  <c r="AE48" i="1" s="1"/>
  <c r="AO18" i="1"/>
  <c r="AO44" i="1" s="1"/>
  <c r="AO45" i="1" s="1"/>
  <c r="AM24" i="1"/>
  <c r="AM50" i="1" s="1"/>
  <c r="AM51" i="1" s="1"/>
  <c r="AC21" i="1"/>
  <c r="AC47" i="1" s="1"/>
  <c r="AC48" i="1" s="1"/>
  <c r="Y24" i="1"/>
  <c r="Y50" i="1" s="1"/>
  <c r="Y51" i="1" s="1"/>
  <c r="AA20" i="1"/>
  <c r="AA46" i="1" s="1"/>
  <c r="AA48" i="1" s="1"/>
  <c r="AM20" i="1"/>
  <c r="AM46" i="1" s="1"/>
  <c r="AM48" i="1" s="1"/>
  <c r="Y20" i="1"/>
  <c r="Y46" i="1" s="1"/>
  <c r="Y48" i="1" s="1"/>
  <c r="AM14" i="1"/>
  <c r="AM40" i="1" s="1"/>
  <c r="AM42" i="1" s="1"/>
  <c r="AI23" i="1"/>
  <c r="AI49" i="1" s="1"/>
  <c r="AI51" i="1" s="1"/>
  <c r="AM18" i="1"/>
  <c r="AM44" i="1" s="1"/>
  <c r="AM45" i="1" s="1"/>
  <c r="AA12" i="1"/>
  <c r="AA38" i="1" s="1"/>
  <c r="AA39" i="1" s="1"/>
  <c r="AS11" i="1"/>
  <c r="AS37" i="1" s="1"/>
  <c r="AS39" i="1" s="1"/>
  <c r="AE8" i="1"/>
  <c r="AE34" i="1" s="1"/>
  <c r="AE36" i="1" s="1"/>
  <c r="AE51" i="1"/>
  <c r="AA8" i="1"/>
  <c r="AA34" i="1" s="1"/>
  <c r="AA36" i="1" s="1"/>
  <c r="AU14" i="1"/>
  <c r="AU40" i="1" s="1"/>
  <c r="AU42" i="1" s="1"/>
  <c r="AE18" i="1"/>
  <c r="AE44" i="1" s="1"/>
  <c r="AE45" i="1" s="1"/>
  <c r="AU17" i="1"/>
  <c r="AU43" i="1" s="1"/>
  <c r="AU45" i="1" s="1"/>
  <c r="AO15" i="1"/>
  <c r="AO41" i="1" s="1"/>
  <c r="AO42" i="1" s="1"/>
  <c r="AG24" i="1"/>
  <c r="AG50" i="1" s="1"/>
  <c r="AG51" i="1" s="1"/>
  <c r="AE11" i="1"/>
  <c r="AE37" i="1" s="1"/>
  <c r="AE39" i="1" s="1"/>
  <c r="AM6" i="1"/>
  <c r="AM32" i="1" s="1"/>
  <c r="AM33" i="1" s="1"/>
  <c r="AC8" i="1"/>
  <c r="AC34" i="1" s="1"/>
  <c r="AC36" i="1" s="1"/>
  <c r="AS17" i="1"/>
  <c r="AS43" i="1" s="1"/>
  <c r="AS45" i="1" s="1"/>
  <c r="Y8" i="1"/>
  <c r="Y34" i="1" s="1"/>
  <c r="Y36" i="1" s="1"/>
  <c r="AO21" i="1"/>
  <c r="AO47" i="1" s="1"/>
  <c r="AO48" i="1" s="1"/>
  <c r="AG21" i="1"/>
  <c r="AG47" i="1" s="1"/>
  <c r="AG48" i="1" s="1"/>
  <c r="AU9" i="1"/>
  <c r="AU35" i="1" s="1"/>
  <c r="AU36" i="1" s="1"/>
  <c r="AS9" i="1"/>
  <c r="AS35" i="1" s="1"/>
  <c r="AS36" i="1" s="1"/>
  <c r="AQ5" i="1"/>
  <c r="AQ31" i="1" s="1"/>
  <c r="AQ33" i="1" s="1"/>
  <c r="AO11" i="1"/>
  <c r="AO37" i="1" s="1"/>
  <c r="AO39" i="1" s="1"/>
  <c r="AQ24" i="1"/>
  <c r="AQ50" i="1" s="1"/>
  <c r="AQ51" i="1" s="1"/>
  <c r="AA17" i="1"/>
  <c r="AA43" i="1" s="1"/>
  <c r="AA45" i="1" s="1"/>
  <c r="AQ14" i="1"/>
  <c r="AQ40" i="1" s="1"/>
  <c r="AQ42" i="1" s="1"/>
  <c r="AG18" i="1"/>
  <c r="AG44" i="1" s="1"/>
  <c r="AG45" i="1" s="1"/>
  <c r="AO6" i="1"/>
  <c r="AO32" i="1" s="1"/>
  <c r="AO33" i="1" s="1"/>
  <c r="AG9" i="1"/>
  <c r="AG35" i="1" s="1"/>
  <c r="AG36" i="1" s="1"/>
  <c r="Y18" i="1"/>
  <c r="Y44" i="1" s="1"/>
  <c r="Y45" i="1" s="1"/>
  <c r="AQ20" i="1"/>
  <c r="AQ46" i="1" s="1"/>
  <c r="AQ48" i="1" s="1"/>
  <c r="Y11" i="1"/>
  <c r="Y37" i="1" s="1"/>
  <c r="Y39" i="1" s="1"/>
  <c r="AS23" i="1"/>
  <c r="AS49" i="1" s="1"/>
  <c r="AS51" i="1" s="1"/>
  <c r="AO24" i="1"/>
  <c r="AO50" i="1" s="1"/>
  <c r="AO51" i="1" s="1"/>
  <c r="AQ9" i="1"/>
  <c r="AQ35" i="1" s="1"/>
  <c r="AQ36" i="1" s="1"/>
  <c r="Y6" i="1"/>
  <c r="Y32" i="1" s="1"/>
  <c r="Y33" i="1" s="1"/>
  <c r="AS6" i="1"/>
  <c r="AS32" i="1" s="1"/>
  <c r="AS33" i="1" s="1"/>
  <c r="AE6" i="1"/>
  <c r="AE32" i="1" s="1"/>
  <c r="AE33" i="1" s="1"/>
  <c r="AU11" i="1"/>
  <c r="AU37" i="1" s="1"/>
  <c r="AU39" i="1" s="1"/>
  <c r="AS15" i="1"/>
  <c r="AS41" i="1" s="1"/>
  <c r="AS42" i="1" s="1"/>
  <c r="AO8" i="1"/>
  <c r="AO34" i="1" s="1"/>
  <c r="AO36" i="1" s="1"/>
  <c r="AU5" i="1"/>
  <c r="AU31" i="1" s="1"/>
  <c r="AU33" i="1" s="1"/>
  <c r="AG5" i="1"/>
  <c r="AG31" i="1" s="1"/>
  <c r="AG33" i="1" s="1"/>
  <c r="AA5" i="1"/>
  <c r="AA31" i="1" s="1"/>
  <c r="AA33" i="1" s="1"/>
  <c r="AC6" i="1"/>
  <c r="AC32" i="1" s="1"/>
  <c r="AC33" i="1" s="1"/>
  <c r="AK2" i="1"/>
  <c r="AK28" i="1" s="1"/>
  <c r="AK3" i="1"/>
  <c r="AK29" i="1" s="1"/>
  <c r="AI2" i="1"/>
  <c r="AI28" i="1" s="1"/>
  <c r="AI3" i="1"/>
  <c r="AI29" i="1" s="1"/>
  <c r="AM3" i="1"/>
  <c r="AM29" i="1" s="1"/>
  <c r="AM2" i="1"/>
  <c r="AM28" i="1" s="1"/>
  <c r="AU3" i="1"/>
  <c r="AU29" i="1" s="1"/>
  <c r="AU2" i="1"/>
  <c r="AU28" i="1" s="1"/>
  <c r="AS3" i="1"/>
  <c r="AS29" i="1" s="1"/>
  <c r="AS2" i="1"/>
  <c r="AS28" i="1" s="1"/>
  <c r="AQ3" i="1"/>
  <c r="AQ29" i="1" s="1"/>
  <c r="AQ2" i="1"/>
  <c r="AQ28" i="1" s="1"/>
  <c r="AO3" i="1"/>
  <c r="AO29" i="1" s="1"/>
  <c r="AO2" i="1"/>
  <c r="AO28" i="1" s="1"/>
  <c r="AA2" i="1"/>
  <c r="AA28" i="1" s="1"/>
  <c r="AA3" i="1"/>
  <c r="AA29" i="1" s="1"/>
  <c r="AG2" i="1"/>
  <c r="AG28" i="1" s="1"/>
  <c r="AG3" i="1"/>
  <c r="AG29" i="1" s="1"/>
  <c r="AE2" i="1"/>
  <c r="AE28" i="1" s="1"/>
  <c r="AE3" i="1"/>
  <c r="AE29" i="1" s="1"/>
  <c r="AC2" i="1"/>
  <c r="AC28" i="1" s="1"/>
  <c r="AC3" i="1"/>
  <c r="AC29" i="1" s="1"/>
  <c r="Y3" i="1"/>
  <c r="Y29" i="1" s="1"/>
  <c r="Y2" i="1"/>
  <c r="Y28" i="1" s="1"/>
  <c r="AK30" i="1" l="1"/>
  <c r="AG30" i="1"/>
  <c r="AI30" i="1"/>
  <c r="AM30" i="1"/>
  <c r="AO30" i="1"/>
  <c r="AA30" i="1"/>
  <c r="AC30" i="1"/>
  <c r="AE30" i="1"/>
  <c r="Y30" i="1"/>
  <c r="AU30" i="1"/>
  <c r="AS30" i="1"/>
  <c r="AQ30" i="1"/>
</calcChain>
</file>

<file path=xl/sharedStrings.xml><?xml version="1.0" encoding="utf-8"?>
<sst xmlns="http://schemas.openxmlformats.org/spreadsheetml/2006/main" count="85" uniqueCount="12">
  <si>
    <t>Multiplication Practice</t>
  </si>
  <si>
    <t>Division Practice</t>
  </si>
  <si>
    <t>Find The Elapsed Time</t>
  </si>
  <si>
    <t xml:space="preserve"> End Time</t>
  </si>
  <si>
    <t>Start Time</t>
  </si>
  <si>
    <t xml:space="preserve">Elapsed Time: </t>
  </si>
  <si>
    <t>HR</t>
  </si>
  <si>
    <t>MIN</t>
  </si>
  <si>
    <t>Subtraction Practice</t>
  </si>
  <si>
    <t>Addition Practice</t>
  </si>
  <si>
    <t>What Time Is It?</t>
  </si>
  <si>
    <t>TIME: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</si>
</sst>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[$-409]h:mm\ AM/PM;@"/>
  </numFmts>
  <fonts count="5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indent="2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0" borderId="1" xfId="0" applyFont="1" applyBorder="1"/>
    <xf numFmtId="0" fontId="1" fillId="0" borderId="1" xfId="0" applyFont="1" applyBorder="1" applyAlignment="1">
      <alignment horizontal="right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wrapText="1"/>
    </xf>
    <xf numFmtId="18" fontId="4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right" vertical="center"/>
    </xf>
    <xf numFmtId="20" fontId="1" fillId="0" borderId="1" xfId="0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167" fontId="0" fillId="0" borderId="0" xfId="0" applyNumberFormat="1"/>
    <xf numFmtId="0" fontId="1" fillId="0" borderId="2" xfId="0" applyFont="1" applyBorder="1" applyAlignment="1">
      <alignment horizontal="left" vertical="top"/>
    </xf>
    <xf numFmtId="0" fontId="1" fillId="0" borderId="0" xfId="0" applyFont="1" applyBorder="1"/>
    <xf numFmtId="0" fontId="1" fillId="0" borderId="6" xfId="0" applyFont="1" applyBorder="1"/>
    <xf numFmtId="0" fontId="1" fillId="0" borderId="5" xfId="0" applyFont="1" applyBorder="1" applyAlignment="1">
      <alignment horizontal="left" vertical="top"/>
    </xf>
    <xf numFmtId="0" fontId="1" fillId="0" borderId="3" xfId="0" applyFont="1" applyBorder="1"/>
    <xf numFmtId="0" fontId="1" fillId="0" borderId="4" xfId="0" applyFont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0249554367201425E-2"/>
          <c:y val="6.6923451999803929E-2"/>
          <c:w val="0.95836007130124778"/>
          <c:h val="0.88077902443932476"/>
        </c:manualLayout>
      </c:layout>
      <c:pieChart>
        <c:varyColors val="0"/>
        <c:ser>
          <c:idx val="0"/>
          <c:order val="0"/>
          <c:spPr>
            <a:solidFill>
              <a:schemeClr val="bg2">
                <a:lumMod val="90000"/>
                <a:alpha val="94000"/>
              </a:schemeClr>
            </a:solidFill>
            <a:ln w="19050">
              <a:noFill/>
            </a:ln>
            <a:effectLst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86E0-4BDA-80BA-2B304996647A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86E0-4BDA-80BA-2B304996647A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5-86E0-4BDA-80BA-2B304996647A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7-86E0-4BDA-80BA-2B304996647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9-86E0-4BDA-80BA-2B304996647A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86E0-4BDA-80BA-2B304996647A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D-86E0-4BDA-80BA-2B304996647A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F-86E0-4BDA-80BA-2B304996647A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11-86E0-4BDA-80BA-2B304996647A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3-86E0-4BDA-80BA-2B304996647A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5-86E0-4BDA-80BA-2B304996647A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7-86E0-4BDA-80BA-2B304996647A}"/>
              </c:ext>
            </c:extLst>
          </c:dPt>
          <c:dLbls>
            <c:dLbl>
              <c:idx val="0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E0-4BDA-80BA-2B304996647A}"/>
                </c:ext>
              </c:extLst>
            </c:dLbl>
            <c:dLbl>
              <c:idx val="1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E0-4BDA-80BA-2B304996647A}"/>
                </c:ext>
              </c:extLst>
            </c:dLbl>
            <c:dLbl>
              <c:idx val="2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6E0-4BDA-80BA-2B304996647A}"/>
                </c:ext>
              </c:extLst>
            </c:dLbl>
            <c:dLbl>
              <c:idx val="3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6E0-4BDA-80BA-2B304996647A}"/>
                </c:ext>
              </c:extLst>
            </c:dLbl>
            <c:dLbl>
              <c:idx val="4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6E0-4BDA-80BA-2B304996647A}"/>
                </c:ext>
              </c:extLst>
            </c:dLbl>
            <c:dLbl>
              <c:idx val="5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6E0-4BDA-80BA-2B304996647A}"/>
                </c:ext>
              </c:extLst>
            </c:dLbl>
            <c:dLbl>
              <c:idx val="6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6E0-4BDA-80BA-2B304996647A}"/>
                </c:ext>
              </c:extLst>
            </c:dLbl>
            <c:dLbl>
              <c:idx val="7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86E0-4BDA-80BA-2B304996647A}"/>
                </c:ext>
              </c:extLst>
            </c:dLbl>
            <c:dLbl>
              <c:idx val="8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6E0-4BDA-80BA-2B304996647A}"/>
                </c:ext>
              </c:extLst>
            </c:dLbl>
            <c:dLbl>
              <c:idx val="9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86E0-4BDA-80BA-2B304996647A}"/>
                </c:ext>
              </c:extLst>
            </c:dLbl>
            <c:dLbl>
              <c:idx val="10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86E0-4BDA-80BA-2B304996647A}"/>
                </c:ext>
              </c:extLst>
            </c:dLbl>
            <c:dLbl>
              <c:idx val="11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86E0-4BDA-80BA-2B304996647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Sheet3!$A$1:$A$12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6E0-4BDA-80BA-2B304996647A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0"/>
        </c:dLbls>
        <c:firstSliceAng val="15"/>
      </c:pieChart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0249554367201425E-2"/>
          <c:y val="6.6923451999803929E-2"/>
          <c:w val="0.95836007130124778"/>
          <c:h val="0.88077902443932476"/>
        </c:manualLayout>
      </c:layout>
      <c:pieChart>
        <c:varyColors val="0"/>
        <c:ser>
          <c:idx val="0"/>
          <c:order val="0"/>
          <c:spPr>
            <a:solidFill>
              <a:schemeClr val="bg2">
                <a:lumMod val="90000"/>
                <a:alpha val="94000"/>
              </a:schemeClr>
            </a:solidFill>
            <a:ln w="19050">
              <a:noFill/>
            </a:ln>
            <a:effectLst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4043-402E-AE86-974A309D6AFF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4043-402E-AE86-974A309D6AFF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4043-402E-AE86-974A309D6AFF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4043-402E-AE86-974A309D6AFF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4043-402E-AE86-974A309D6AFF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4043-402E-AE86-974A309D6AFF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4043-402E-AE86-974A309D6AFF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4043-402E-AE86-974A309D6AFF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4043-402E-AE86-974A309D6AFF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4043-402E-AE86-974A309D6AFF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4043-402E-AE86-974A309D6AFF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B-4043-402E-AE86-974A309D6AFF}"/>
              </c:ext>
            </c:extLst>
          </c:dPt>
          <c:dLbls>
            <c:dLbl>
              <c:idx val="0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043-402E-AE86-974A309D6AFF}"/>
                </c:ext>
              </c:extLst>
            </c:dLbl>
            <c:dLbl>
              <c:idx val="1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043-402E-AE86-974A309D6AFF}"/>
                </c:ext>
              </c:extLst>
            </c:dLbl>
            <c:dLbl>
              <c:idx val="2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043-402E-AE86-974A309D6AFF}"/>
                </c:ext>
              </c:extLst>
            </c:dLbl>
            <c:dLbl>
              <c:idx val="3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43-402E-AE86-974A309D6AFF}"/>
                </c:ext>
              </c:extLst>
            </c:dLbl>
            <c:dLbl>
              <c:idx val="4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43-402E-AE86-974A309D6AFF}"/>
                </c:ext>
              </c:extLst>
            </c:dLbl>
            <c:dLbl>
              <c:idx val="5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043-402E-AE86-974A309D6AFF}"/>
                </c:ext>
              </c:extLst>
            </c:dLbl>
            <c:dLbl>
              <c:idx val="6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043-402E-AE86-974A309D6AFF}"/>
                </c:ext>
              </c:extLst>
            </c:dLbl>
            <c:dLbl>
              <c:idx val="7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043-402E-AE86-974A309D6AFF}"/>
                </c:ext>
              </c:extLst>
            </c:dLbl>
            <c:dLbl>
              <c:idx val="8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043-402E-AE86-974A309D6AFF}"/>
                </c:ext>
              </c:extLst>
            </c:dLbl>
            <c:dLbl>
              <c:idx val="9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043-402E-AE86-974A309D6AFF}"/>
                </c:ext>
              </c:extLst>
            </c:dLbl>
            <c:dLbl>
              <c:idx val="10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043-402E-AE86-974A309D6AFF}"/>
                </c:ext>
              </c:extLst>
            </c:dLbl>
            <c:dLbl>
              <c:idx val="11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043-402E-AE86-974A309D6AF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Sheet3!$A$1:$A$12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043-402E-AE86-974A309D6AFF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0"/>
        </c:dLbls>
        <c:firstSliceAng val="15"/>
      </c:pieChart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0249554367201425E-2"/>
          <c:y val="6.6923451999803929E-2"/>
          <c:w val="0.95836007130124778"/>
          <c:h val="0.88077902443932476"/>
        </c:manualLayout>
      </c:layout>
      <c:pieChart>
        <c:varyColors val="0"/>
        <c:ser>
          <c:idx val="0"/>
          <c:order val="0"/>
          <c:spPr>
            <a:solidFill>
              <a:schemeClr val="bg2">
                <a:lumMod val="90000"/>
                <a:alpha val="94000"/>
              </a:schemeClr>
            </a:solidFill>
            <a:ln w="19050">
              <a:noFill/>
            </a:ln>
            <a:effectLst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3CF-4239-896A-BB14D8FADAB0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83CF-4239-896A-BB14D8FADAB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83CF-4239-896A-BB14D8FADAB0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83CF-4239-896A-BB14D8FADAB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83CF-4239-896A-BB14D8FADAB0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83CF-4239-896A-BB14D8FADAB0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83CF-4239-896A-BB14D8FADAB0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83CF-4239-896A-BB14D8FADAB0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83CF-4239-896A-BB14D8FADAB0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83CF-4239-896A-BB14D8FADAB0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83CF-4239-896A-BB14D8FADAB0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B-83CF-4239-896A-BB14D8FADAB0}"/>
              </c:ext>
            </c:extLst>
          </c:dPt>
          <c:dLbls>
            <c:dLbl>
              <c:idx val="0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3CF-4239-896A-BB14D8FADAB0}"/>
                </c:ext>
              </c:extLst>
            </c:dLbl>
            <c:dLbl>
              <c:idx val="1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3CF-4239-896A-BB14D8FADAB0}"/>
                </c:ext>
              </c:extLst>
            </c:dLbl>
            <c:dLbl>
              <c:idx val="2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3CF-4239-896A-BB14D8FADAB0}"/>
                </c:ext>
              </c:extLst>
            </c:dLbl>
            <c:dLbl>
              <c:idx val="3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3CF-4239-896A-BB14D8FADAB0}"/>
                </c:ext>
              </c:extLst>
            </c:dLbl>
            <c:dLbl>
              <c:idx val="4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3CF-4239-896A-BB14D8FADAB0}"/>
                </c:ext>
              </c:extLst>
            </c:dLbl>
            <c:dLbl>
              <c:idx val="5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3CF-4239-896A-BB14D8FADAB0}"/>
                </c:ext>
              </c:extLst>
            </c:dLbl>
            <c:dLbl>
              <c:idx val="6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3CF-4239-896A-BB14D8FADAB0}"/>
                </c:ext>
              </c:extLst>
            </c:dLbl>
            <c:dLbl>
              <c:idx val="7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3CF-4239-896A-BB14D8FADAB0}"/>
                </c:ext>
              </c:extLst>
            </c:dLbl>
            <c:dLbl>
              <c:idx val="8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3CF-4239-896A-BB14D8FADAB0}"/>
                </c:ext>
              </c:extLst>
            </c:dLbl>
            <c:dLbl>
              <c:idx val="9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3CF-4239-896A-BB14D8FADAB0}"/>
                </c:ext>
              </c:extLst>
            </c:dLbl>
            <c:dLbl>
              <c:idx val="10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3CF-4239-896A-BB14D8FADAB0}"/>
                </c:ext>
              </c:extLst>
            </c:dLbl>
            <c:dLbl>
              <c:idx val="11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3CF-4239-896A-BB14D8FADA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Sheet3!$A$1:$A$12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3CF-4239-896A-BB14D8FADAB0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0"/>
        </c:dLbls>
        <c:firstSliceAng val="15"/>
      </c:pieChart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0249554367201425E-2"/>
          <c:y val="6.6923451999803929E-2"/>
          <c:w val="0.95836007130124778"/>
          <c:h val="0.88077902443932476"/>
        </c:manualLayout>
      </c:layout>
      <c:pieChart>
        <c:varyColors val="0"/>
        <c:ser>
          <c:idx val="0"/>
          <c:order val="0"/>
          <c:spPr>
            <a:solidFill>
              <a:schemeClr val="bg2">
                <a:lumMod val="90000"/>
                <a:alpha val="94000"/>
              </a:schemeClr>
            </a:solidFill>
            <a:ln w="19050">
              <a:noFill/>
            </a:ln>
            <a:effectLst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503-4F86-A8C9-423262F8D8E4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2503-4F86-A8C9-423262F8D8E4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2503-4F86-A8C9-423262F8D8E4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2503-4F86-A8C9-423262F8D8E4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2503-4F86-A8C9-423262F8D8E4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2503-4F86-A8C9-423262F8D8E4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2503-4F86-A8C9-423262F8D8E4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2503-4F86-A8C9-423262F8D8E4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2503-4F86-A8C9-423262F8D8E4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2503-4F86-A8C9-423262F8D8E4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2503-4F86-A8C9-423262F8D8E4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B-2503-4F86-A8C9-423262F8D8E4}"/>
              </c:ext>
            </c:extLst>
          </c:dPt>
          <c:dLbls>
            <c:dLbl>
              <c:idx val="0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503-4F86-A8C9-423262F8D8E4}"/>
                </c:ext>
              </c:extLst>
            </c:dLbl>
            <c:dLbl>
              <c:idx val="1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503-4F86-A8C9-423262F8D8E4}"/>
                </c:ext>
              </c:extLst>
            </c:dLbl>
            <c:dLbl>
              <c:idx val="2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503-4F86-A8C9-423262F8D8E4}"/>
                </c:ext>
              </c:extLst>
            </c:dLbl>
            <c:dLbl>
              <c:idx val="3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03-4F86-A8C9-423262F8D8E4}"/>
                </c:ext>
              </c:extLst>
            </c:dLbl>
            <c:dLbl>
              <c:idx val="4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503-4F86-A8C9-423262F8D8E4}"/>
                </c:ext>
              </c:extLst>
            </c:dLbl>
            <c:dLbl>
              <c:idx val="5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503-4F86-A8C9-423262F8D8E4}"/>
                </c:ext>
              </c:extLst>
            </c:dLbl>
            <c:dLbl>
              <c:idx val="6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503-4F86-A8C9-423262F8D8E4}"/>
                </c:ext>
              </c:extLst>
            </c:dLbl>
            <c:dLbl>
              <c:idx val="7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503-4F86-A8C9-423262F8D8E4}"/>
                </c:ext>
              </c:extLst>
            </c:dLbl>
            <c:dLbl>
              <c:idx val="8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503-4F86-A8C9-423262F8D8E4}"/>
                </c:ext>
              </c:extLst>
            </c:dLbl>
            <c:dLbl>
              <c:idx val="9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503-4F86-A8C9-423262F8D8E4}"/>
                </c:ext>
              </c:extLst>
            </c:dLbl>
            <c:dLbl>
              <c:idx val="10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503-4F86-A8C9-423262F8D8E4}"/>
                </c:ext>
              </c:extLst>
            </c:dLbl>
            <c:dLbl>
              <c:idx val="11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503-4F86-A8C9-423262F8D8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Sheet3!$A$1:$A$12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503-4F86-A8C9-423262F8D8E4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0"/>
        </c:dLbls>
        <c:firstSliceAng val="15"/>
      </c:pieChart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0249554367201425E-2"/>
          <c:y val="6.6923451999803929E-2"/>
          <c:w val="0.95836007130124778"/>
          <c:h val="0.88077902443932476"/>
        </c:manualLayout>
      </c:layout>
      <c:pieChart>
        <c:varyColors val="0"/>
        <c:ser>
          <c:idx val="0"/>
          <c:order val="0"/>
          <c:spPr>
            <a:solidFill>
              <a:schemeClr val="bg2">
                <a:lumMod val="90000"/>
                <a:alpha val="94000"/>
              </a:schemeClr>
            </a:solidFill>
            <a:ln w="19050">
              <a:noFill/>
            </a:ln>
            <a:effectLst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534-4FA5-B9C2-3C16D867E1FF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A534-4FA5-B9C2-3C16D867E1FF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A534-4FA5-B9C2-3C16D867E1FF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A534-4FA5-B9C2-3C16D867E1FF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A534-4FA5-B9C2-3C16D867E1FF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A534-4FA5-B9C2-3C16D867E1FF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A534-4FA5-B9C2-3C16D867E1FF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A534-4FA5-B9C2-3C16D867E1FF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A534-4FA5-B9C2-3C16D867E1FF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A534-4FA5-B9C2-3C16D867E1FF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A534-4FA5-B9C2-3C16D867E1FF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B-A534-4FA5-B9C2-3C16D867E1FF}"/>
              </c:ext>
            </c:extLst>
          </c:dPt>
          <c:dLbls>
            <c:dLbl>
              <c:idx val="0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534-4FA5-B9C2-3C16D867E1FF}"/>
                </c:ext>
              </c:extLst>
            </c:dLbl>
            <c:dLbl>
              <c:idx val="1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534-4FA5-B9C2-3C16D867E1FF}"/>
                </c:ext>
              </c:extLst>
            </c:dLbl>
            <c:dLbl>
              <c:idx val="2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534-4FA5-B9C2-3C16D867E1FF}"/>
                </c:ext>
              </c:extLst>
            </c:dLbl>
            <c:dLbl>
              <c:idx val="3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534-4FA5-B9C2-3C16D867E1FF}"/>
                </c:ext>
              </c:extLst>
            </c:dLbl>
            <c:dLbl>
              <c:idx val="4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534-4FA5-B9C2-3C16D867E1FF}"/>
                </c:ext>
              </c:extLst>
            </c:dLbl>
            <c:dLbl>
              <c:idx val="5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534-4FA5-B9C2-3C16D867E1FF}"/>
                </c:ext>
              </c:extLst>
            </c:dLbl>
            <c:dLbl>
              <c:idx val="6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534-4FA5-B9C2-3C16D867E1FF}"/>
                </c:ext>
              </c:extLst>
            </c:dLbl>
            <c:dLbl>
              <c:idx val="7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534-4FA5-B9C2-3C16D867E1FF}"/>
                </c:ext>
              </c:extLst>
            </c:dLbl>
            <c:dLbl>
              <c:idx val="8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534-4FA5-B9C2-3C16D867E1FF}"/>
                </c:ext>
              </c:extLst>
            </c:dLbl>
            <c:dLbl>
              <c:idx val="9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534-4FA5-B9C2-3C16D867E1FF}"/>
                </c:ext>
              </c:extLst>
            </c:dLbl>
            <c:dLbl>
              <c:idx val="10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534-4FA5-B9C2-3C16D867E1FF}"/>
                </c:ext>
              </c:extLst>
            </c:dLbl>
            <c:dLbl>
              <c:idx val="11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534-4FA5-B9C2-3C16D867E1F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Sheet3!$A$1:$A$12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34-4FA5-B9C2-3C16D867E1FF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0"/>
        </c:dLbls>
        <c:firstSliceAng val="15"/>
      </c:pieChart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0249554367201425E-2"/>
          <c:y val="6.6923451999803929E-2"/>
          <c:w val="0.95836007130124778"/>
          <c:h val="0.88077902443932476"/>
        </c:manualLayout>
      </c:layout>
      <c:pieChart>
        <c:varyColors val="0"/>
        <c:ser>
          <c:idx val="0"/>
          <c:order val="0"/>
          <c:spPr>
            <a:solidFill>
              <a:schemeClr val="bg2">
                <a:lumMod val="90000"/>
                <a:alpha val="94000"/>
              </a:schemeClr>
            </a:solidFill>
            <a:ln w="19050">
              <a:noFill/>
            </a:ln>
            <a:effectLst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731-4AA7-B120-308577A53D7B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E731-4AA7-B120-308577A53D7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E731-4AA7-B120-308577A53D7B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E731-4AA7-B120-308577A53D7B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E731-4AA7-B120-308577A53D7B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E731-4AA7-B120-308577A53D7B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E731-4AA7-B120-308577A53D7B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E731-4AA7-B120-308577A53D7B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E731-4AA7-B120-308577A53D7B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E731-4AA7-B120-308577A53D7B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E731-4AA7-B120-308577A53D7B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B-E731-4AA7-B120-308577A53D7B}"/>
              </c:ext>
            </c:extLst>
          </c:dPt>
          <c:dLbls>
            <c:dLbl>
              <c:idx val="0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731-4AA7-B120-308577A53D7B}"/>
                </c:ext>
              </c:extLst>
            </c:dLbl>
            <c:dLbl>
              <c:idx val="1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731-4AA7-B120-308577A53D7B}"/>
                </c:ext>
              </c:extLst>
            </c:dLbl>
            <c:dLbl>
              <c:idx val="2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731-4AA7-B120-308577A53D7B}"/>
                </c:ext>
              </c:extLst>
            </c:dLbl>
            <c:dLbl>
              <c:idx val="3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31-4AA7-B120-308577A53D7B}"/>
                </c:ext>
              </c:extLst>
            </c:dLbl>
            <c:dLbl>
              <c:idx val="4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31-4AA7-B120-308577A53D7B}"/>
                </c:ext>
              </c:extLst>
            </c:dLbl>
            <c:dLbl>
              <c:idx val="5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31-4AA7-B120-308577A53D7B}"/>
                </c:ext>
              </c:extLst>
            </c:dLbl>
            <c:dLbl>
              <c:idx val="6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31-4AA7-B120-308577A53D7B}"/>
                </c:ext>
              </c:extLst>
            </c:dLbl>
            <c:dLbl>
              <c:idx val="7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31-4AA7-B120-308577A53D7B}"/>
                </c:ext>
              </c:extLst>
            </c:dLbl>
            <c:dLbl>
              <c:idx val="8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731-4AA7-B120-308577A53D7B}"/>
                </c:ext>
              </c:extLst>
            </c:dLbl>
            <c:dLbl>
              <c:idx val="9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731-4AA7-B120-308577A53D7B}"/>
                </c:ext>
              </c:extLst>
            </c:dLbl>
            <c:dLbl>
              <c:idx val="10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731-4AA7-B120-308577A53D7B}"/>
                </c:ext>
              </c:extLst>
            </c:dLbl>
            <c:dLbl>
              <c:idx val="11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731-4AA7-B120-308577A53D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Sheet3!$A$1:$A$12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731-4AA7-B120-308577A53D7B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0"/>
        </c:dLbls>
        <c:firstSliceAng val="15"/>
      </c:pieChart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0249554367201425E-2"/>
          <c:y val="6.6923451999803929E-2"/>
          <c:w val="0.95836007130124778"/>
          <c:h val="0.88077902443932476"/>
        </c:manualLayout>
      </c:layout>
      <c:pieChart>
        <c:varyColors val="0"/>
        <c:ser>
          <c:idx val="0"/>
          <c:order val="0"/>
          <c:spPr>
            <a:solidFill>
              <a:schemeClr val="bg2">
                <a:lumMod val="90000"/>
                <a:alpha val="94000"/>
              </a:schemeClr>
            </a:solidFill>
            <a:ln w="19050">
              <a:noFill/>
            </a:ln>
            <a:effectLst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DFD3-4F47-B601-96D829F546B1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DFD3-4F47-B601-96D829F546B1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DFD3-4F47-B601-96D829F546B1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DFD3-4F47-B601-96D829F546B1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DFD3-4F47-B601-96D829F546B1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DFD3-4F47-B601-96D829F546B1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DFD3-4F47-B601-96D829F546B1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DFD3-4F47-B601-96D829F546B1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DFD3-4F47-B601-96D829F546B1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DFD3-4F47-B601-96D829F546B1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DFD3-4F47-B601-96D829F546B1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B-DFD3-4F47-B601-96D829F546B1}"/>
              </c:ext>
            </c:extLst>
          </c:dPt>
          <c:dLbls>
            <c:dLbl>
              <c:idx val="0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FD3-4F47-B601-96D829F546B1}"/>
                </c:ext>
              </c:extLst>
            </c:dLbl>
            <c:dLbl>
              <c:idx val="1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FD3-4F47-B601-96D829F546B1}"/>
                </c:ext>
              </c:extLst>
            </c:dLbl>
            <c:dLbl>
              <c:idx val="2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FD3-4F47-B601-96D829F546B1}"/>
                </c:ext>
              </c:extLst>
            </c:dLbl>
            <c:dLbl>
              <c:idx val="3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FD3-4F47-B601-96D829F546B1}"/>
                </c:ext>
              </c:extLst>
            </c:dLbl>
            <c:dLbl>
              <c:idx val="4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FD3-4F47-B601-96D829F546B1}"/>
                </c:ext>
              </c:extLst>
            </c:dLbl>
            <c:dLbl>
              <c:idx val="5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FD3-4F47-B601-96D829F546B1}"/>
                </c:ext>
              </c:extLst>
            </c:dLbl>
            <c:dLbl>
              <c:idx val="6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FD3-4F47-B601-96D829F546B1}"/>
                </c:ext>
              </c:extLst>
            </c:dLbl>
            <c:dLbl>
              <c:idx val="7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FD3-4F47-B601-96D829F546B1}"/>
                </c:ext>
              </c:extLst>
            </c:dLbl>
            <c:dLbl>
              <c:idx val="8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FD3-4F47-B601-96D829F546B1}"/>
                </c:ext>
              </c:extLst>
            </c:dLbl>
            <c:dLbl>
              <c:idx val="9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FD3-4F47-B601-96D829F546B1}"/>
                </c:ext>
              </c:extLst>
            </c:dLbl>
            <c:dLbl>
              <c:idx val="10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FD3-4F47-B601-96D829F546B1}"/>
                </c:ext>
              </c:extLst>
            </c:dLbl>
            <c:dLbl>
              <c:idx val="11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FD3-4F47-B601-96D829F546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Sheet3!$A$1:$A$12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FD3-4F47-B601-96D829F546B1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0"/>
        </c:dLbls>
        <c:firstSliceAng val="15"/>
      </c:pieChart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0249554367201425E-2"/>
          <c:y val="6.6923451999803929E-2"/>
          <c:w val="0.95836007130124778"/>
          <c:h val="0.88077902443932476"/>
        </c:manualLayout>
      </c:layout>
      <c:pieChart>
        <c:varyColors val="0"/>
        <c:ser>
          <c:idx val="0"/>
          <c:order val="0"/>
          <c:spPr>
            <a:solidFill>
              <a:schemeClr val="bg2">
                <a:lumMod val="90000"/>
                <a:alpha val="94000"/>
              </a:schemeClr>
            </a:solidFill>
            <a:ln w="19050">
              <a:noFill/>
            </a:ln>
            <a:effectLst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B9E-4955-BA02-6E03FE58D6C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3B9E-4955-BA02-6E03FE58D6C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3B9E-4955-BA02-6E03FE58D6C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3B9E-4955-BA02-6E03FE58D6C8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3B9E-4955-BA02-6E03FE58D6C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3B9E-4955-BA02-6E03FE58D6C8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3B9E-4955-BA02-6E03FE58D6C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3B9E-4955-BA02-6E03FE58D6C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3B9E-4955-BA02-6E03FE58D6C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3B9E-4955-BA02-6E03FE58D6C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3B9E-4955-BA02-6E03FE58D6C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B-3B9E-4955-BA02-6E03FE58D6C8}"/>
              </c:ext>
            </c:extLst>
          </c:dPt>
          <c:dLbls>
            <c:dLbl>
              <c:idx val="0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B9E-4955-BA02-6E03FE58D6C8}"/>
                </c:ext>
              </c:extLst>
            </c:dLbl>
            <c:dLbl>
              <c:idx val="1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B9E-4955-BA02-6E03FE58D6C8}"/>
                </c:ext>
              </c:extLst>
            </c:dLbl>
            <c:dLbl>
              <c:idx val="2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B9E-4955-BA02-6E03FE58D6C8}"/>
                </c:ext>
              </c:extLst>
            </c:dLbl>
            <c:dLbl>
              <c:idx val="3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9E-4955-BA02-6E03FE58D6C8}"/>
                </c:ext>
              </c:extLst>
            </c:dLbl>
            <c:dLbl>
              <c:idx val="4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B9E-4955-BA02-6E03FE58D6C8}"/>
                </c:ext>
              </c:extLst>
            </c:dLbl>
            <c:dLbl>
              <c:idx val="5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B9E-4955-BA02-6E03FE58D6C8}"/>
                </c:ext>
              </c:extLst>
            </c:dLbl>
            <c:dLbl>
              <c:idx val="6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B9E-4955-BA02-6E03FE58D6C8}"/>
                </c:ext>
              </c:extLst>
            </c:dLbl>
            <c:dLbl>
              <c:idx val="7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B9E-4955-BA02-6E03FE58D6C8}"/>
                </c:ext>
              </c:extLst>
            </c:dLbl>
            <c:dLbl>
              <c:idx val="8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B9E-4955-BA02-6E03FE58D6C8}"/>
                </c:ext>
              </c:extLst>
            </c:dLbl>
            <c:dLbl>
              <c:idx val="9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B9E-4955-BA02-6E03FE58D6C8}"/>
                </c:ext>
              </c:extLst>
            </c:dLbl>
            <c:dLbl>
              <c:idx val="10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B9E-4955-BA02-6E03FE58D6C8}"/>
                </c:ext>
              </c:extLst>
            </c:dLbl>
            <c:dLbl>
              <c:idx val="11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B9E-4955-BA02-6E03FE58D6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Sheet3!$A$1:$A$12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B9E-4955-BA02-6E03FE58D6C8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0"/>
        </c:dLbls>
        <c:firstSliceAng val="15"/>
      </c:pieChart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0249554367201425E-2"/>
          <c:y val="6.6923451999803929E-2"/>
          <c:w val="0.95836007130124778"/>
          <c:h val="0.88077902443932476"/>
        </c:manualLayout>
      </c:layout>
      <c:pieChart>
        <c:varyColors val="0"/>
        <c:ser>
          <c:idx val="0"/>
          <c:order val="0"/>
          <c:spPr>
            <a:solidFill>
              <a:schemeClr val="bg2">
                <a:lumMod val="90000"/>
                <a:alpha val="94000"/>
              </a:schemeClr>
            </a:solidFill>
            <a:ln w="19050">
              <a:noFill/>
            </a:ln>
            <a:effectLst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BF9-466E-97AD-8F26332C0EB4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2BF9-466E-97AD-8F26332C0EB4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2BF9-466E-97AD-8F26332C0EB4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2BF9-466E-97AD-8F26332C0EB4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2BF9-466E-97AD-8F26332C0EB4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2BF9-466E-97AD-8F26332C0EB4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2BF9-466E-97AD-8F26332C0EB4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2BF9-466E-97AD-8F26332C0EB4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2BF9-466E-97AD-8F26332C0EB4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2BF9-466E-97AD-8F26332C0EB4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2BF9-466E-97AD-8F26332C0EB4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B-2BF9-466E-97AD-8F26332C0EB4}"/>
              </c:ext>
            </c:extLst>
          </c:dPt>
          <c:dLbls>
            <c:dLbl>
              <c:idx val="0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F9-466E-97AD-8F26332C0EB4}"/>
                </c:ext>
              </c:extLst>
            </c:dLbl>
            <c:dLbl>
              <c:idx val="1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BF9-466E-97AD-8F26332C0EB4}"/>
                </c:ext>
              </c:extLst>
            </c:dLbl>
            <c:dLbl>
              <c:idx val="2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F9-466E-97AD-8F26332C0EB4}"/>
                </c:ext>
              </c:extLst>
            </c:dLbl>
            <c:dLbl>
              <c:idx val="3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F9-466E-97AD-8F26332C0EB4}"/>
                </c:ext>
              </c:extLst>
            </c:dLbl>
            <c:dLbl>
              <c:idx val="4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BF9-466E-97AD-8F26332C0EB4}"/>
                </c:ext>
              </c:extLst>
            </c:dLbl>
            <c:dLbl>
              <c:idx val="5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BF9-466E-97AD-8F26332C0EB4}"/>
                </c:ext>
              </c:extLst>
            </c:dLbl>
            <c:dLbl>
              <c:idx val="6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BF9-466E-97AD-8F26332C0EB4}"/>
                </c:ext>
              </c:extLst>
            </c:dLbl>
            <c:dLbl>
              <c:idx val="7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F9-466E-97AD-8F26332C0EB4}"/>
                </c:ext>
              </c:extLst>
            </c:dLbl>
            <c:dLbl>
              <c:idx val="8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BF9-466E-97AD-8F26332C0EB4}"/>
                </c:ext>
              </c:extLst>
            </c:dLbl>
            <c:dLbl>
              <c:idx val="9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BF9-466E-97AD-8F26332C0EB4}"/>
                </c:ext>
              </c:extLst>
            </c:dLbl>
            <c:dLbl>
              <c:idx val="10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BF9-466E-97AD-8F26332C0EB4}"/>
                </c:ext>
              </c:extLst>
            </c:dLbl>
            <c:dLbl>
              <c:idx val="11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F9-466E-97AD-8F26332C0E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Sheet3!$A$1:$A$12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BF9-466E-97AD-8F26332C0EB4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0"/>
        </c:dLbls>
        <c:firstSliceAng val="15"/>
      </c:pieChart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96</xdr:col>
      <xdr:colOff>57150</xdr:colOff>
      <xdr:row>3</xdr:row>
      <xdr:rowOff>57150</xdr:rowOff>
    </xdr:from>
    <xdr:to>
      <xdr:col>111</xdr:col>
      <xdr:colOff>188595</xdr:colOff>
      <xdr:row>3</xdr:row>
      <xdr:rowOff>85725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FCE29AE-B3AC-1D70-A110-AB0EC86F3312}"/>
            </a:ext>
          </a:extLst>
        </xdr:cNvPr>
        <xdr:cNvCxnSpPr/>
      </xdr:nvCxnSpPr>
      <xdr:spPr>
        <a:xfrm flipV="1">
          <a:off x="11858625" y="895350"/>
          <a:ext cx="5760720" cy="2857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28575</xdr:colOff>
      <xdr:row>6</xdr:row>
      <xdr:rowOff>104775</xdr:rowOff>
    </xdr:from>
    <xdr:to>
      <xdr:col>111</xdr:col>
      <xdr:colOff>160020</xdr:colOff>
      <xdr:row>6</xdr:row>
      <xdr:rowOff>133350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C8B0744D-FA79-4C25-8C3B-5573901EA249}"/>
            </a:ext>
          </a:extLst>
        </xdr:cNvPr>
        <xdr:cNvCxnSpPr/>
      </xdr:nvCxnSpPr>
      <xdr:spPr>
        <a:xfrm flipV="1">
          <a:off x="11830050" y="1943100"/>
          <a:ext cx="5760720" cy="2857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28575</xdr:colOff>
      <xdr:row>9</xdr:row>
      <xdr:rowOff>57150</xdr:rowOff>
    </xdr:from>
    <xdr:to>
      <xdr:col>111</xdr:col>
      <xdr:colOff>160020</xdr:colOff>
      <xdr:row>9</xdr:row>
      <xdr:rowOff>85725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587428A8-E90B-4322-825A-8644D39C9B1F}"/>
            </a:ext>
          </a:extLst>
        </xdr:cNvPr>
        <xdr:cNvCxnSpPr/>
      </xdr:nvCxnSpPr>
      <xdr:spPr>
        <a:xfrm flipV="1">
          <a:off x="11830050" y="2895600"/>
          <a:ext cx="5760720" cy="2857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57150</xdr:colOff>
      <xdr:row>12</xdr:row>
      <xdr:rowOff>57150</xdr:rowOff>
    </xdr:from>
    <xdr:to>
      <xdr:col>111</xdr:col>
      <xdr:colOff>188595</xdr:colOff>
      <xdr:row>12</xdr:row>
      <xdr:rowOff>85725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1D7FF7E4-788C-49FE-87B6-038518CDA9AF}"/>
            </a:ext>
          </a:extLst>
        </xdr:cNvPr>
        <xdr:cNvCxnSpPr/>
      </xdr:nvCxnSpPr>
      <xdr:spPr>
        <a:xfrm flipV="1">
          <a:off x="11858625" y="3895725"/>
          <a:ext cx="5760720" cy="2857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38100</xdr:colOff>
      <xdr:row>15</xdr:row>
      <xdr:rowOff>47625</xdr:rowOff>
    </xdr:from>
    <xdr:to>
      <xdr:col>111</xdr:col>
      <xdr:colOff>169545</xdr:colOff>
      <xdr:row>15</xdr:row>
      <xdr:rowOff>76200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840EB08B-3BCF-461F-9344-296149ED6B94}"/>
            </a:ext>
          </a:extLst>
        </xdr:cNvPr>
        <xdr:cNvCxnSpPr/>
      </xdr:nvCxnSpPr>
      <xdr:spPr>
        <a:xfrm flipV="1">
          <a:off x="11839575" y="4886325"/>
          <a:ext cx="5760720" cy="2857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0</xdr:colOff>
      <xdr:row>18</xdr:row>
      <xdr:rowOff>66675</xdr:rowOff>
    </xdr:from>
    <xdr:to>
      <xdr:col>111</xdr:col>
      <xdr:colOff>131445</xdr:colOff>
      <xdr:row>18</xdr:row>
      <xdr:rowOff>95250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B4016AE-CBA6-4375-94C5-5FD1CE10B216}"/>
            </a:ext>
          </a:extLst>
        </xdr:cNvPr>
        <xdr:cNvCxnSpPr/>
      </xdr:nvCxnSpPr>
      <xdr:spPr>
        <a:xfrm flipV="1">
          <a:off x="11801475" y="5905500"/>
          <a:ext cx="5760720" cy="2857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0</xdr:colOff>
      <xdr:row>21</xdr:row>
      <xdr:rowOff>47625</xdr:rowOff>
    </xdr:from>
    <xdr:to>
      <xdr:col>111</xdr:col>
      <xdr:colOff>131445</xdr:colOff>
      <xdr:row>21</xdr:row>
      <xdr:rowOff>76200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AAF2485D-F3D7-44B2-AC8E-EF943C6E8B57}"/>
            </a:ext>
          </a:extLst>
        </xdr:cNvPr>
        <xdr:cNvCxnSpPr/>
      </xdr:nvCxnSpPr>
      <xdr:spPr>
        <a:xfrm flipV="1">
          <a:off x="11801475" y="6886575"/>
          <a:ext cx="5760720" cy="2857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0</xdr:colOff>
      <xdr:row>24</xdr:row>
      <xdr:rowOff>47625</xdr:rowOff>
    </xdr:from>
    <xdr:to>
      <xdr:col>111</xdr:col>
      <xdr:colOff>131445</xdr:colOff>
      <xdr:row>24</xdr:row>
      <xdr:rowOff>76200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D70775F9-C9CC-43B8-AB35-CFEDEEA6B8F4}"/>
            </a:ext>
          </a:extLst>
        </xdr:cNvPr>
        <xdr:cNvCxnSpPr/>
      </xdr:nvCxnSpPr>
      <xdr:spPr>
        <a:xfrm flipV="1">
          <a:off x="11801475" y="7886700"/>
          <a:ext cx="5760720" cy="2857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57150</xdr:colOff>
      <xdr:row>29</xdr:row>
      <xdr:rowOff>57150</xdr:rowOff>
    </xdr:from>
    <xdr:to>
      <xdr:col>111</xdr:col>
      <xdr:colOff>188595</xdr:colOff>
      <xdr:row>29</xdr:row>
      <xdr:rowOff>85725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EB5C46FA-6ACE-4BAE-9964-C27264975414}"/>
            </a:ext>
          </a:extLst>
        </xdr:cNvPr>
        <xdr:cNvCxnSpPr/>
      </xdr:nvCxnSpPr>
      <xdr:spPr>
        <a:xfrm flipV="1">
          <a:off x="11858625" y="9439275"/>
          <a:ext cx="5760720" cy="2857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28575</xdr:colOff>
      <xdr:row>32</xdr:row>
      <xdr:rowOff>104775</xdr:rowOff>
    </xdr:from>
    <xdr:to>
      <xdr:col>111</xdr:col>
      <xdr:colOff>160020</xdr:colOff>
      <xdr:row>32</xdr:row>
      <xdr:rowOff>133350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C24CD81A-454E-43FA-A005-AAFCD3AA5DAB}"/>
            </a:ext>
          </a:extLst>
        </xdr:cNvPr>
        <xdr:cNvCxnSpPr/>
      </xdr:nvCxnSpPr>
      <xdr:spPr>
        <a:xfrm flipV="1">
          <a:off x="11830050" y="10487025"/>
          <a:ext cx="5760720" cy="2857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28575</xdr:colOff>
      <xdr:row>35</xdr:row>
      <xdr:rowOff>57150</xdr:rowOff>
    </xdr:from>
    <xdr:to>
      <xdr:col>111</xdr:col>
      <xdr:colOff>160020</xdr:colOff>
      <xdr:row>35</xdr:row>
      <xdr:rowOff>85725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9914D54-E98B-4E56-AC84-29A4C1D9DBBD}"/>
            </a:ext>
          </a:extLst>
        </xdr:cNvPr>
        <xdr:cNvCxnSpPr/>
      </xdr:nvCxnSpPr>
      <xdr:spPr>
        <a:xfrm flipV="1">
          <a:off x="11830050" y="11439525"/>
          <a:ext cx="5760720" cy="2857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38100</xdr:colOff>
      <xdr:row>38</xdr:row>
      <xdr:rowOff>57150</xdr:rowOff>
    </xdr:from>
    <xdr:to>
      <xdr:col>111</xdr:col>
      <xdr:colOff>169545</xdr:colOff>
      <xdr:row>38</xdr:row>
      <xdr:rowOff>85725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C15BB2C5-4B41-46DB-9CD6-AB39287A0CE2}"/>
            </a:ext>
          </a:extLst>
        </xdr:cNvPr>
        <xdr:cNvCxnSpPr/>
      </xdr:nvCxnSpPr>
      <xdr:spPr>
        <a:xfrm flipV="1">
          <a:off x="11839575" y="12439650"/>
          <a:ext cx="5760720" cy="2857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38100</xdr:colOff>
      <xdr:row>41</xdr:row>
      <xdr:rowOff>47625</xdr:rowOff>
    </xdr:from>
    <xdr:to>
      <xdr:col>111</xdr:col>
      <xdr:colOff>169545</xdr:colOff>
      <xdr:row>41</xdr:row>
      <xdr:rowOff>76200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4FCCC11C-02B2-40C5-A47C-717B284AB243}"/>
            </a:ext>
          </a:extLst>
        </xdr:cNvPr>
        <xdr:cNvCxnSpPr/>
      </xdr:nvCxnSpPr>
      <xdr:spPr>
        <a:xfrm flipV="1">
          <a:off x="11839575" y="13430250"/>
          <a:ext cx="5760720" cy="2857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0</xdr:colOff>
      <xdr:row>44</xdr:row>
      <xdr:rowOff>66675</xdr:rowOff>
    </xdr:from>
    <xdr:to>
      <xdr:col>111</xdr:col>
      <xdr:colOff>131445</xdr:colOff>
      <xdr:row>44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A7EE1619-FCEB-42AB-B0A1-41027C443719}"/>
            </a:ext>
          </a:extLst>
        </xdr:cNvPr>
        <xdr:cNvCxnSpPr/>
      </xdr:nvCxnSpPr>
      <xdr:spPr>
        <a:xfrm flipV="1">
          <a:off x="11801475" y="14449425"/>
          <a:ext cx="5760720" cy="2857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0</xdr:colOff>
      <xdr:row>47</xdr:row>
      <xdr:rowOff>47625</xdr:rowOff>
    </xdr:from>
    <xdr:to>
      <xdr:col>111</xdr:col>
      <xdr:colOff>131445</xdr:colOff>
      <xdr:row>47</xdr:row>
      <xdr:rowOff>76200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991AC18E-304A-43C1-B543-F305BEFE838E}"/>
            </a:ext>
          </a:extLst>
        </xdr:cNvPr>
        <xdr:cNvCxnSpPr/>
      </xdr:nvCxnSpPr>
      <xdr:spPr>
        <a:xfrm flipV="1">
          <a:off x="11801475" y="15430500"/>
          <a:ext cx="5760720" cy="2857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0</xdr:colOff>
      <xdr:row>50</xdr:row>
      <xdr:rowOff>47625</xdr:rowOff>
    </xdr:from>
    <xdr:to>
      <xdr:col>111</xdr:col>
      <xdr:colOff>131445</xdr:colOff>
      <xdr:row>50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68E7C047-C74B-4347-86BA-38798B98F39B}"/>
            </a:ext>
          </a:extLst>
        </xdr:cNvPr>
        <xdr:cNvCxnSpPr/>
      </xdr:nvCxnSpPr>
      <xdr:spPr>
        <a:xfrm flipV="1">
          <a:off x="11801475" y="16430625"/>
          <a:ext cx="5760720" cy="2857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112</xdr:col>
      <xdr:colOff>47625</xdr:colOff>
      <xdr:row>0</xdr:row>
      <xdr:rowOff>247639</xdr:rowOff>
    </xdr:from>
    <xdr:to>
      <xdr:col>116</xdr:col>
      <xdr:colOff>339170</xdr:colOff>
      <xdr:row>6</xdr:row>
      <xdr:rowOff>400050</xdr:rowOff>
    </xdr:to>
    <xdr:graphicFrame macro="">
      <xdr:nvGraphicFramePr>
        <xdr:cNvPr id="32" name="ClockChart1">
          <a:extLst>
            <a:ext uri="{FF2B5EF4-FFF2-40B4-BE49-F238E27FC236}">
              <a16:creationId xmlns:a16="http://schemas.microsoft.com/office/drawing/2014/main" id="{4E887411-6C68-478F-B882-26161457072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117</xdr:col>
      <xdr:colOff>38100</xdr:colOff>
      <xdr:row>1</xdr:row>
      <xdr:rowOff>0</xdr:rowOff>
    </xdr:from>
    <xdr:to>
      <xdr:col>121</xdr:col>
      <xdr:colOff>329645</xdr:colOff>
      <xdr:row>6</xdr:row>
      <xdr:rowOff>400061</xdr:rowOff>
    </xdr:to>
    <xdr:graphicFrame macro="">
      <xdr:nvGraphicFramePr>
        <xdr:cNvPr id="3147" name="ClockChart2">
          <a:extLst>
            <a:ext uri="{FF2B5EF4-FFF2-40B4-BE49-F238E27FC236}">
              <a16:creationId xmlns:a16="http://schemas.microsoft.com/office/drawing/2014/main" id="{F0B1CF6F-50EE-467C-AD17-EF6C345ACD3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122</xdr:col>
      <xdr:colOff>47625</xdr:colOff>
      <xdr:row>1</xdr:row>
      <xdr:rowOff>0</xdr:rowOff>
    </xdr:from>
    <xdr:to>
      <xdr:col>126</xdr:col>
      <xdr:colOff>339170</xdr:colOff>
      <xdr:row>6</xdr:row>
      <xdr:rowOff>400061</xdr:rowOff>
    </xdr:to>
    <xdr:graphicFrame macro="">
      <xdr:nvGraphicFramePr>
        <xdr:cNvPr id="3148" name="ClockChart3">
          <a:extLst>
            <a:ext uri="{FF2B5EF4-FFF2-40B4-BE49-F238E27FC236}">
              <a16:creationId xmlns:a16="http://schemas.microsoft.com/office/drawing/2014/main" id="{DEEC8E8F-FB05-450F-97F2-8E71E5A6204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112</xdr:col>
      <xdr:colOff>47625</xdr:colOff>
      <xdr:row>8</xdr:row>
      <xdr:rowOff>285750</xdr:rowOff>
    </xdr:from>
    <xdr:to>
      <xdr:col>116</xdr:col>
      <xdr:colOff>339170</xdr:colOff>
      <xdr:row>14</xdr:row>
      <xdr:rowOff>276236</xdr:rowOff>
    </xdr:to>
    <xdr:graphicFrame macro="">
      <xdr:nvGraphicFramePr>
        <xdr:cNvPr id="3149" name="ClockChart4">
          <a:extLst>
            <a:ext uri="{FF2B5EF4-FFF2-40B4-BE49-F238E27FC236}">
              <a16:creationId xmlns:a16="http://schemas.microsoft.com/office/drawing/2014/main" id="{2005275F-B800-4BAB-B9CA-65EB09F878E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117</xdr:col>
      <xdr:colOff>38100</xdr:colOff>
      <xdr:row>8</xdr:row>
      <xdr:rowOff>285761</xdr:rowOff>
    </xdr:from>
    <xdr:to>
      <xdr:col>121</xdr:col>
      <xdr:colOff>329645</xdr:colOff>
      <xdr:row>14</xdr:row>
      <xdr:rowOff>276247</xdr:rowOff>
    </xdr:to>
    <xdr:graphicFrame macro="">
      <xdr:nvGraphicFramePr>
        <xdr:cNvPr id="3150" name="ClockChart5">
          <a:extLst>
            <a:ext uri="{FF2B5EF4-FFF2-40B4-BE49-F238E27FC236}">
              <a16:creationId xmlns:a16="http://schemas.microsoft.com/office/drawing/2014/main" id="{0CEFB952-818F-4BDD-94D2-46A710624C5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122</xdr:col>
      <xdr:colOff>47625</xdr:colOff>
      <xdr:row>8</xdr:row>
      <xdr:rowOff>285761</xdr:rowOff>
    </xdr:from>
    <xdr:to>
      <xdr:col>126</xdr:col>
      <xdr:colOff>339170</xdr:colOff>
      <xdr:row>14</xdr:row>
      <xdr:rowOff>276247</xdr:rowOff>
    </xdr:to>
    <xdr:graphicFrame macro="">
      <xdr:nvGraphicFramePr>
        <xdr:cNvPr id="3151" name="ClockChart6">
          <a:extLst>
            <a:ext uri="{FF2B5EF4-FFF2-40B4-BE49-F238E27FC236}">
              <a16:creationId xmlns:a16="http://schemas.microsoft.com/office/drawing/2014/main" id="{AA1EC186-F879-4A3D-96B1-CDDB67E886A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112</xdr:col>
      <xdr:colOff>47625</xdr:colOff>
      <xdr:row>17</xdr:row>
      <xdr:rowOff>0</xdr:rowOff>
    </xdr:from>
    <xdr:to>
      <xdr:col>116</xdr:col>
      <xdr:colOff>339170</xdr:colOff>
      <xdr:row>22</xdr:row>
      <xdr:rowOff>285761</xdr:rowOff>
    </xdr:to>
    <xdr:graphicFrame macro="">
      <xdr:nvGraphicFramePr>
        <xdr:cNvPr id="3155" name="ClockChart7">
          <a:extLst>
            <a:ext uri="{FF2B5EF4-FFF2-40B4-BE49-F238E27FC236}">
              <a16:creationId xmlns:a16="http://schemas.microsoft.com/office/drawing/2014/main" id="{86BB0BD9-115C-43F5-B48A-A906683075E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117</xdr:col>
      <xdr:colOff>38100</xdr:colOff>
      <xdr:row>17</xdr:row>
      <xdr:rowOff>11</xdr:rowOff>
    </xdr:from>
    <xdr:to>
      <xdr:col>121</xdr:col>
      <xdr:colOff>329645</xdr:colOff>
      <xdr:row>22</xdr:row>
      <xdr:rowOff>285772</xdr:rowOff>
    </xdr:to>
    <xdr:graphicFrame macro="">
      <xdr:nvGraphicFramePr>
        <xdr:cNvPr id="3156" name="ClockChart8">
          <a:extLst>
            <a:ext uri="{FF2B5EF4-FFF2-40B4-BE49-F238E27FC236}">
              <a16:creationId xmlns:a16="http://schemas.microsoft.com/office/drawing/2014/main" id="{343D5379-4A33-47C0-8E56-4B7FB7CCFA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122</xdr:col>
      <xdr:colOff>47625</xdr:colOff>
      <xdr:row>17</xdr:row>
      <xdr:rowOff>11</xdr:rowOff>
    </xdr:from>
    <xdr:to>
      <xdr:col>126</xdr:col>
      <xdr:colOff>339170</xdr:colOff>
      <xdr:row>22</xdr:row>
      <xdr:rowOff>285772</xdr:rowOff>
    </xdr:to>
    <xdr:graphicFrame macro="">
      <xdr:nvGraphicFramePr>
        <xdr:cNvPr id="3157" name="ClockChart9">
          <a:extLst>
            <a:ext uri="{FF2B5EF4-FFF2-40B4-BE49-F238E27FC236}">
              <a16:creationId xmlns:a16="http://schemas.microsoft.com/office/drawing/2014/main" id="{1E2A3EE9-05FB-4F24-91AB-5D9D84B7D5E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114</xdr:col>
      <xdr:colOff>193396</xdr:colOff>
      <xdr:row>1</xdr:row>
      <xdr:rowOff>142051</xdr:rowOff>
    </xdr:from>
    <xdr:to>
      <xdr:col>114</xdr:col>
      <xdr:colOff>193396</xdr:colOff>
      <xdr:row>1</xdr:row>
      <xdr:rowOff>196517</xdr:rowOff>
    </xdr:to>
    <xdr:cxnSp macro="">
      <xdr:nvCxnSpPr>
        <xdr:cNvPr id="5090" name="MinuteMarker1_0">
          <a:extLst>
            <a:ext uri="{FF2B5EF4-FFF2-40B4-BE49-F238E27FC236}">
              <a16:creationId xmlns:a16="http://schemas.microsoft.com/office/drawing/2014/main" id="{2253200A-0F59-DF6A-792D-77E01341C48D}"/>
            </a:ext>
          </a:extLst>
        </xdr:cNvPr>
        <xdr:cNvCxnSpPr/>
      </xdr:nvCxnSpPr>
      <xdr:spPr>
        <a:xfrm>
          <a:off x="30625771" y="389701"/>
          <a:ext cx="0" cy="54466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278795</xdr:colOff>
      <xdr:row>1</xdr:row>
      <xdr:rowOff>137697</xdr:rowOff>
    </xdr:from>
    <xdr:to>
      <xdr:col>114</xdr:col>
      <xdr:colOff>283542</xdr:colOff>
      <xdr:row>1</xdr:row>
      <xdr:rowOff>182837</xdr:rowOff>
    </xdr:to>
    <xdr:cxnSp macro="">
      <xdr:nvCxnSpPr>
        <xdr:cNvPr id="5091" name="MinuteMarker1_1">
          <a:extLst>
            <a:ext uri="{FF2B5EF4-FFF2-40B4-BE49-F238E27FC236}">
              <a16:creationId xmlns:a16="http://schemas.microsoft.com/office/drawing/2014/main" id="{8A615073-0C42-2AB3-7E02-943112C22C94}"/>
            </a:ext>
          </a:extLst>
        </xdr:cNvPr>
        <xdr:cNvCxnSpPr/>
      </xdr:nvCxnSpPr>
      <xdr:spPr>
        <a:xfrm flipV="1">
          <a:off x="30711170" y="385347"/>
          <a:ext cx="4747" cy="4514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363262</xdr:colOff>
      <xdr:row>1</xdr:row>
      <xdr:rowOff>151818</xdr:rowOff>
    </xdr:from>
    <xdr:to>
      <xdr:col>114</xdr:col>
      <xdr:colOff>372697</xdr:colOff>
      <xdr:row>1</xdr:row>
      <xdr:rowOff>196215</xdr:rowOff>
    </xdr:to>
    <xdr:cxnSp macro="">
      <xdr:nvCxnSpPr>
        <xdr:cNvPr id="5092" name="MinuteMarker1_2">
          <a:extLst>
            <a:ext uri="{FF2B5EF4-FFF2-40B4-BE49-F238E27FC236}">
              <a16:creationId xmlns:a16="http://schemas.microsoft.com/office/drawing/2014/main" id="{5F6AD0F9-1B67-075F-61E6-5803BAA7319B}"/>
            </a:ext>
          </a:extLst>
        </xdr:cNvPr>
        <xdr:cNvCxnSpPr/>
      </xdr:nvCxnSpPr>
      <xdr:spPr>
        <a:xfrm flipV="1">
          <a:off x="30795637" y="399468"/>
          <a:ext cx="9435" cy="4439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115</xdr:col>
      <xdr:colOff>64864</xdr:colOff>
      <xdr:row>1</xdr:row>
      <xdr:rowOff>175181</xdr:rowOff>
    </xdr:from>
    <xdr:to>
      <xdr:col>115</xdr:col>
      <xdr:colOff>78888</xdr:colOff>
      <xdr:row>1</xdr:row>
      <xdr:rowOff>218348</xdr:rowOff>
    </xdr:to>
    <xdr:cxnSp macro="">
      <xdr:nvCxnSpPr>
        <xdr:cNvPr id="5093" name="MinuteMarker1_3">
          <a:extLst>
            <a:ext uri="{FF2B5EF4-FFF2-40B4-BE49-F238E27FC236}">
              <a16:creationId xmlns:a16="http://schemas.microsoft.com/office/drawing/2014/main" id="{ED58E469-6643-AD67-7C11-EA800EBB7BCE}"/>
            </a:ext>
          </a:extLst>
        </xdr:cNvPr>
        <xdr:cNvCxnSpPr/>
      </xdr:nvCxnSpPr>
      <xdr:spPr>
        <a:xfrm flipV="1">
          <a:off x="30878239" y="422831"/>
          <a:ext cx="14024" cy="4316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115</xdr:col>
      <xdr:colOff>144698</xdr:colOff>
      <xdr:row>1</xdr:row>
      <xdr:rowOff>207530</xdr:rowOff>
    </xdr:from>
    <xdr:to>
      <xdr:col>115</xdr:col>
      <xdr:colOff>163162</xdr:colOff>
      <xdr:row>1</xdr:row>
      <xdr:rowOff>248995</xdr:rowOff>
    </xdr:to>
    <xdr:cxnSp macro="">
      <xdr:nvCxnSpPr>
        <xdr:cNvPr id="5094" name="MinuteMarker1_4">
          <a:extLst>
            <a:ext uri="{FF2B5EF4-FFF2-40B4-BE49-F238E27FC236}">
              <a16:creationId xmlns:a16="http://schemas.microsoft.com/office/drawing/2014/main" id="{FEC4EC1A-7E12-0D1F-99E9-DE5D4526FCA1}"/>
            </a:ext>
          </a:extLst>
        </xdr:cNvPr>
        <xdr:cNvCxnSpPr/>
      </xdr:nvCxnSpPr>
      <xdr:spPr>
        <a:xfrm flipV="1">
          <a:off x="30958073" y="455180"/>
          <a:ext cx="18464" cy="4146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115</xdr:col>
      <xdr:colOff>211817</xdr:colOff>
      <xdr:row>1</xdr:row>
      <xdr:rowOff>256372</xdr:rowOff>
    </xdr:from>
    <xdr:to>
      <xdr:col>115</xdr:col>
      <xdr:colOff>239052</xdr:colOff>
      <xdr:row>2</xdr:row>
      <xdr:rowOff>8266</xdr:rowOff>
    </xdr:to>
    <xdr:cxnSp macro="">
      <xdr:nvCxnSpPr>
        <xdr:cNvPr id="5095" name="MinuteMarker1_5">
          <a:extLst>
            <a:ext uri="{FF2B5EF4-FFF2-40B4-BE49-F238E27FC236}">
              <a16:creationId xmlns:a16="http://schemas.microsoft.com/office/drawing/2014/main" id="{E39F6370-97E3-B9B8-4A68-814981985D33}"/>
            </a:ext>
          </a:extLst>
        </xdr:cNvPr>
        <xdr:cNvCxnSpPr/>
      </xdr:nvCxnSpPr>
      <xdr:spPr>
        <a:xfrm flipH="1">
          <a:off x="31025192" y="504022"/>
          <a:ext cx="27235" cy="47169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115</xdr:col>
      <xdr:colOff>292615</xdr:colOff>
      <xdr:row>2</xdr:row>
      <xdr:rowOff>2399</xdr:rowOff>
    </xdr:from>
    <xdr:to>
      <xdr:col>115</xdr:col>
      <xdr:colOff>319295</xdr:colOff>
      <xdr:row>2</xdr:row>
      <xdr:rowOff>39119</xdr:rowOff>
    </xdr:to>
    <xdr:cxnSp macro="">
      <xdr:nvCxnSpPr>
        <xdr:cNvPr id="5096" name="MinuteMarker1_6">
          <a:extLst>
            <a:ext uri="{FF2B5EF4-FFF2-40B4-BE49-F238E27FC236}">
              <a16:creationId xmlns:a16="http://schemas.microsoft.com/office/drawing/2014/main" id="{BE851720-0EB6-63BD-9DB2-6D06A55F0032}"/>
            </a:ext>
          </a:extLst>
        </xdr:cNvPr>
        <xdr:cNvCxnSpPr/>
      </xdr:nvCxnSpPr>
      <xdr:spPr>
        <a:xfrm flipV="1">
          <a:off x="31105990" y="545324"/>
          <a:ext cx="26680" cy="3672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115</xdr:col>
      <xdr:colOff>359073</xdr:colOff>
      <xdr:row>2</xdr:row>
      <xdr:rowOff>59206</xdr:rowOff>
    </xdr:from>
    <xdr:to>
      <xdr:col>116</xdr:col>
      <xdr:colOff>8446</xdr:colOff>
      <xdr:row>2</xdr:row>
      <xdr:rowOff>92936</xdr:rowOff>
    </xdr:to>
    <xdr:cxnSp macro="">
      <xdr:nvCxnSpPr>
        <xdr:cNvPr id="5097" name="MinuteMarker1_7">
          <a:extLst>
            <a:ext uri="{FF2B5EF4-FFF2-40B4-BE49-F238E27FC236}">
              <a16:creationId xmlns:a16="http://schemas.microsoft.com/office/drawing/2014/main" id="{EF70D06E-322E-67A0-D34E-5BE1D82F2761}"/>
            </a:ext>
          </a:extLst>
        </xdr:cNvPr>
        <xdr:cNvCxnSpPr/>
      </xdr:nvCxnSpPr>
      <xdr:spPr>
        <a:xfrm flipV="1">
          <a:off x="31172448" y="602131"/>
          <a:ext cx="30373" cy="3373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38543</xdr:colOff>
      <xdr:row>2</xdr:row>
      <xdr:rowOff>123035</xdr:rowOff>
    </xdr:from>
    <xdr:to>
      <xdr:col>116</xdr:col>
      <xdr:colOff>72275</xdr:colOff>
      <xdr:row>2</xdr:row>
      <xdr:rowOff>153406</xdr:rowOff>
    </xdr:to>
    <xdr:cxnSp macro="">
      <xdr:nvCxnSpPr>
        <xdr:cNvPr id="5098" name="MinuteMarker1_8">
          <a:extLst>
            <a:ext uri="{FF2B5EF4-FFF2-40B4-BE49-F238E27FC236}">
              <a16:creationId xmlns:a16="http://schemas.microsoft.com/office/drawing/2014/main" id="{68BE37BF-73F8-1B3D-B5B1-37EBA84A1DBC}"/>
            </a:ext>
          </a:extLst>
        </xdr:cNvPr>
        <xdr:cNvCxnSpPr/>
      </xdr:nvCxnSpPr>
      <xdr:spPr>
        <a:xfrm flipV="1">
          <a:off x="31232918" y="665960"/>
          <a:ext cx="33732" cy="3037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92360</xdr:colOff>
      <xdr:row>2</xdr:row>
      <xdr:rowOff>193185</xdr:rowOff>
    </xdr:from>
    <xdr:to>
      <xdr:col>116</xdr:col>
      <xdr:colOff>129080</xdr:colOff>
      <xdr:row>2</xdr:row>
      <xdr:rowOff>219864</xdr:rowOff>
    </xdr:to>
    <xdr:cxnSp macro="">
      <xdr:nvCxnSpPr>
        <xdr:cNvPr id="5099" name="MinuteMarker1_9">
          <a:extLst>
            <a:ext uri="{FF2B5EF4-FFF2-40B4-BE49-F238E27FC236}">
              <a16:creationId xmlns:a16="http://schemas.microsoft.com/office/drawing/2014/main" id="{29FE5FC1-2DEE-8ABF-8D7D-7322280A8793}"/>
            </a:ext>
          </a:extLst>
        </xdr:cNvPr>
        <xdr:cNvCxnSpPr/>
      </xdr:nvCxnSpPr>
      <xdr:spPr>
        <a:xfrm flipV="1">
          <a:off x="31286735" y="736110"/>
          <a:ext cx="36720" cy="26679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123214</xdr:colOff>
      <xdr:row>2</xdr:row>
      <xdr:rowOff>273429</xdr:rowOff>
    </xdr:from>
    <xdr:to>
      <xdr:col>116</xdr:col>
      <xdr:colOff>170383</xdr:colOff>
      <xdr:row>3</xdr:row>
      <xdr:rowOff>5387</xdr:rowOff>
    </xdr:to>
    <xdr:cxnSp macro="">
      <xdr:nvCxnSpPr>
        <xdr:cNvPr id="5100" name="MinuteMarker1_10">
          <a:extLst>
            <a:ext uri="{FF2B5EF4-FFF2-40B4-BE49-F238E27FC236}">
              <a16:creationId xmlns:a16="http://schemas.microsoft.com/office/drawing/2014/main" id="{EEE31993-3523-AA1D-D05E-F479DB1A67A7}"/>
            </a:ext>
          </a:extLst>
        </xdr:cNvPr>
        <xdr:cNvCxnSpPr/>
      </xdr:nvCxnSpPr>
      <xdr:spPr>
        <a:xfrm flipH="1">
          <a:off x="31317589" y="816354"/>
          <a:ext cx="47169" cy="27233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177760</xdr:colOff>
      <xdr:row>3</xdr:row>
      <xdr:rowOff>54044</xdr:rowOff>
    </xdr:from>
    <xdr:to>
      <xdr:col>116</xdr:col>
      <xdr:colOff>219224</xdr:colOff>
      <xdr:row>3</xdr:row>
      <xdr:rowOff>72505</xdr:rowOff>
    </xdr:to>
    <xdr:cxnSp macro="">
      <xdr:nvCxnSpPr>
        <xdr:cNvPr id="5101" name="MinuteMarker1_11">
          <a:extLst>
            <a:ext uri="{FF2B5EF4-FFF2-40B4-BE49-F238E27FC236}">
              <a16:creationId xmlns:a16="http://schemas.microsoft.com/office/drawing/2014/main" id="{C74C1499-6B9B-86AC-FE01-91C886FA30CA}"/>
            </a:ext>
          </a:extLst>
        </xdr:cNvPr>
        <xdr:cNvCxnSpPr/>
      </xdr:nvCxnSpPr>
      <xdr:spPr>
        <a:xfrm flipV="1">
          <a:off x="31372135" y="892244"/>
          <a:ext cx="41464" cy="1846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208406</xdr:colOff>
      <xdr:row>3</xdr:row>
      <xdr:rowOff>138316</xdr:rowOff>
    </xdr:from>
    <xdr:to>
      <xdr:col>116</xdr:col>
      <xdr:colOff>251572</xdr:colOff>
      <xdr:row>3</xdr:row>
      <xdr:rowOff>152342</xdr:rowOff>
    </xdr:to>
    <xdr:cxnSp macro="">
      <xdr:nvCxnSpPr>
        <xdr:cNvPr id="5102" name="MinuteMarker1_12">
          <a:extLst>
            <a:ext uri="{FF2B5EF4-FFF2-40B4-BE49-F238E27FC236}">
              <a16:creationId xmlns:a16="http://schemas.microsoft.com/office/drawing/2014/main" id="{1A6B23C7-2AF3-629B-E7A8-900AC448C307}"/>
            </a:ext>
          </a:extLst>
        </xdr:cNvPr>
        <xdr:cNvCxnSpPr/>
      </xdr:nvCxnSpPr>
      <xdr:spPr>
        <a:xfrm flipV="1">
          <a:off x="31402781" y="976516"/>
          <a:ext cx="43166" cy="14026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230541</xdr:colOff>
      <xdr:row>3</xdr:row>
      <xdr:rowOff>225507</xdr:rowOff>
    </xdr:from>
    <xdr:to>
      <xdr:col>116</xdr:col>
      <xdr:colOff>274935</xdr:colOff>
      <xdr:row>3</xdr:row>
      <xdr:rowOff>234944</xdr:rowOff>
    </xdr:to>
    <xdr:cxnSp macro="">
      <xdr:nvCxnSpPr>
        <xdr:cNvPr id="5103" name="MinuteMarker1_13">
          <a:extLst>
            <a:ext uri="{FF2B5EF4-FFF2-40B4-BE49-F238E27FC236}">
              <a16:creationId xmlns:a16="http://schemas.microsoft.com/office/drawing/2014/main" id="{04E87CC9-28D9-9DB7-E30C-8D7C735C1172}"/>
            </a:ext>
          </a:extLst>
        </xdr:cNvPr>
        <xdr:cNvCxnSpPr/>
      </xdr:nvCxnSpPr>
      <xdr:spPr>
        <a:xfrm flipV="1">
          <a:off x="31424916" y="1063707"/>
          <a:ext cx="44394" cy="943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243917</xdr:colOff>
      <xdr:row>3</xdr:row>
      <xdr:rowOff>314663</xdr:rowOff>
    </xdr:from>
    <xdr:to>
      <xdr:col>116</xdr:col>
      <xdr:colOff>289058</xdr:colOff>
      <xdr:row>3</xdr:row>
      <xdr:rowOff>319408</xdr:rowOff>
    </xdr:to>
    <xdr:cxnSp macro="">
      <xdr:nvCxnSpPr>
        <xdr:cNvPr id="5104" name="MinuteMarker1_14">
          <a:extLst>
            <a:ext uri="{FF2B5EF4-FFF2-40B4-BE49-F238E27FC236}">
              <a16:creationId xmlns:a16="http://schemas.microsoft.com/office/drawing/2014/main" id="{73547268-4091-A515-E1F1-F8601D6B8C4F}"/>
            </a:ext>
          </a:extLst>
        </xdr:cNvPr>
        <xdr:cNvCxnSpPr/>
      </xdr:nvCxnSpPr>
      <xdr:spPr>
        <a:xfrm flipV="1">
          <a:off x="31438292" y="1152863"/>
          <a:ext cx="45141" cy="474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230237</xdr:colOff>
      <xdr:row>3</xdr:row>
      <xdr:rowOff>404807</xdr:rowOff>
    </xdr:from>
    <xdr:to>
      <xdr:col>116</xdr:col>
      <xdr:colOff>284705</xdr:colOff>
      <xdr:row>3</xdr:row>
      <xdr:rowOff>404807</xdr:rowOff>
    </xdr:to>
    <xdr:cxnSp macro="">
      <xdr:nvCxnSpPr>
        <xdr:cNvPr id="5105" name="MinuteMarker1_15">
          <a:extLst>
            <a:ext uri="{FF2B5EF4-FFF2-40B4-BE49-F238E27FC236}">
              <a16:creationId xmlns:a16="http://schemas.microsoft.com/office/drawing/2014/main" id="{E2619B04-7B86-815D-A3D5-71A745910AEB}"/>
            </a:ext>
          </a:extLst>
        </xdr:cNvPr>
        <xdr:cNvCxnSpPr/>
      </xdr:nvCxnSpPr>
      <xdr:spPr>
        <a:xfrm flipH="1">
          <a:off x="31424612" y="1243007"/>
          <a:ext cx="54468" cy="0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243917</xdr:colOff>
      <xdr:row>4</xdr:row>
      <xdr:rowOff>80631</xdr:rowOff>
    </xdr:from>
    <xdr:to>
      <xdr:col>116</xdr:col>
      <xdr:colOff>289058</xdr:colOff>
      <xdr:row>4</xdr:row>
      <xdr:rowOff>85376</xdr:rowOff>
    </xdr:to>
    <xdr:cxnSp macro="">
      <xdr:nvCxnSpPr>
        <xdr:cNvPr id="5106" name="MinuteMarker1_16">
          <a:extLst>
            <a:ext uri="{FF2B5EF4-FFF2-40B4-BE49-F238E27FC236}">
              <a16:creationId xmlns:a16="http://schemas.microsoft.com/office/drawing/2014/main" id="{94EF9D62-81A8-C749-E811-FE5DE6C0EB28}"/>
            </a:ext>
          </a:extLst>
        </xdr:cNvPr>
        <xdr:cNvCxnSpPr/>
      </xdr:nvCxnSpPr>
      <xdr:spPr>
        <a:xfrm>
          <a:off x="31438292" y="1328406"/>
          <a:ext cx="45141" cy="474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230541</xdr:colOff>
      <xdr:row>4</xdr:row>
      <xdr:rowOff>165095</xdr:rowOff>
    </xdr:from>
    <xdr:to>
      <xdr:col>116</xdr:col>
      <xdr:colOff>274935</xdr:colOff>
      <xdr:row>4</xdr:row>
      <xdr:rowOff>174532</xdr:rowOff>
    </xdr:to>
    <xdr:cxnSp macro="">
      <xdr:nvCxnSpPr>
        <xdr:cNvPr id="5107" name="MinuteMarker1_17">
          <a:extLst>
            <a:ext uri="{FF2B5EF4-FFF2-40B4-BE49-F238E27FC236}">
              <a16:creationId xmlns:a16="http://schemas.microsoft.com/office/drawing/2014/main" id="{B505E3CE-830E-4411-9D2B-936C11DF1A39}"/>
            </a:ext>
          </a:extLst>
        </xdr:cNvPr>
        <xdr:cNvCxnSpPr/>
      </xdr:nvCxnSpPr>
      <xdr:spPr>
        <a:xfrm>
          <a:off x="31424916" y="1412870"/>
          <a:ext cx="44394" cy="943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208406</xdr:colOff>
      <xdr:row>4</xdr:row>
      <xdr:rowOff>247697</xdr:rowOff>
    </xdr:from>
    <xdr:to>
      <xdr:col>116</xdr:col>
      <xdr:colOff>251572</xdr:colOff>
      <xdr:row>4</xdr:row>
      <xdr:rowOff>261723</xdr:rowOff>
    </xdr:to>
    <xdr:cxnSp macro="">
      <xdr:nvCxnSpPr>
        <xdr:cNvPr id="5108" name="MinuteMarker1_18">
          <a:extLst>
            <a:ext uri="{FF2B5EF4-FFF2-40B4-BE49-F238E27FC236}">
              <a16:creationId xmlns:a16="http://schemas.microsoft.com/office/drawing/2014/main" id="{5C934317-6760-FDB1-B0FE-C84069133FA4}"/>
            </a:ext>
          </a:extLst>
        </xdr:cNvPr>
        <xdr:cNvCxnSpPr/>
      </xdr:nvCxnSpPr>
      <xdr:spPr>
        <a:xfrm>
          <a:off x="31402781" y="1495472"/>
          <a:ext cx="43166" cy="14026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177760</xdr:colOff>
      <xdr:row>5</xdr:row>
      <xdr:rowOff>32259</xdr:rowOff>
    </xdr:from>
    <xdr:to>
      <xdr:col>116</xdr:col>
      <xdr:colOff>219224</xdr:colOff>
      <xdr:row>5</xdr:row>
      <xdr:rowOff>50720</xdr:rowOff>
    </xdr:to>
    <xdr:cxnSp macro="">
      <xdr:nvCxnSpPr>
        <xdr:cNvPr id="5109" name="MinuteMarker1_19">
          <a:extLst>
            <a:ext uri="{FF2B5EF4-FFF2-40B4-BE49-F238E27FC236}">
              <a16:creationId xmlns:a16="http://schemas.microsoft.com/office/drawing/2014/main" id="{6BB64571-39CF-DEC8-5678-506B5D28135E}"/>
            </a:ext>
          </a:extLst>
        </xdr:cNvPr>
        <xdr:cNvCxnSpPr/>
      </xdr:nvCxnSpPr>
      <xdr:spPr>
        <a:xfrm>
          <a:off x="31372135" y="1575309"/>
          <a:ext cx="41464" cy="1846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123214</xdr:colOff>
      <xdr:row>5</xdr:row>
      <xdr:rowOff>99377</xdr:rowOff>
    </xdr:from>
    <xdr:to>
      <xdr:col>116</xdr:col>
      <xdr:colOff>170383</xdr:colOff>
      <xdr:row>5</xdr:row>
      <xdr:rowOff>126610</xdr:rowOff>
    </xdr:to>
    <xdr:cxnSp macro="">
      <xdr:nvCxnSpPr>
        <xdr:cNvPr id="5110" name="MinuteMarker1_20">
          <a:extLst>
            <a:ext uri="{FF2B5EF4-FFF2-40B4-BE49-F238E27FC236}">
              <a16:creationId xmlns:a16="http://schemas.microsoft.com/office/drawing/2014/main" id="{206D1CF8-C5C9-D593-E597-80AE606F7264}"/>
            </a:ext>
          </a:extLst>
        </xdr:cNvPr>
        <xdr:cNvCxnSpPr/>
      </xdr:nvCxnSpPr>
      <xdr:spPr>
        <a:xfrm flipH="1" flipV="1">
          <a:off x="31317589" y="1642427"/>
          <a:ext cx="47169" cy="27233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92360</xdr:colOff>
      <xdr:row>5</xdr:row>
      <xdr:rowOff>180175</xdr:rowOff>
    </xdr:from>
    <xdr:to>
      <xdr:col>116</xdr:col>
      <xdr:colOff>129080</xdr:colOff>
      <xdr:row>5</xdr:row>
      <xdr:rowOff>206853</xdr:rowOff>
    </xdr:to>
    <xdr:cxnSp macro="">
      <xdr:nvCxnSpPr>
        <xdr:cNvPr id="5111" name="MinuteMarker1_21">
          <a:extLst>
            <a:ext uri="{FF2B5EF4-FFF2-40B4-BE49-F238E27FC236}">
              <a16:creationId xmlns:a16="http://schemas.microsoft.com/office/drawing/2014/main" id="{E2438DFD-420E-2F5E-C7E1-7BF619ADD5C7}"/>
            </a:ext>
          </a:extLst>
        </xdr:cNvPr>
        <xdr:cNvCxnSpPr/>
      </xdr:nvCxnSpPr>
      <xdr:spPr>
        <a:xfrm>
          <a:off x="31286735" y="1723225"/>
          <a:ext cx="36720" cy="26678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38543</xdr:colOff>
      <xdr:row>5</xdr:row>
      <xdr:rowOff>246634</xdr:rowOff>
    </xdr:from>
    <xdr:to>
      <xdr:col>116</xdr:col>
      <xdr:colOff>72275</xdr:colOff>
      <xdr:row>5</xdr:row>
      <xdr:rowOff>277004</xdr:rowOff>
    </xdr:to>
    <xdr:cxnSp macro="">
      <xdr:nvCxnSpPr>
        <xdr:cNvPr id="5112" name="MinuteMarker1_22">
          <a:extLst>
            <a:ext uri="{FF2B5EF4-FFF2-40B4-BE49-F238E27FC236}">
              <a16:creationId xmlns:a16="http://schemas.microsoft.com/office/drawing/2014/main" id="{2F8DB426-FBB4-66D8-1E76-BFEF386D3527}"/>
            </a:ext>
          </a:extLst>
        </xdr:cNvPr>
        <xdr:cNvCxnSpPr/>
      </xdr:nvCxnSpPr>
      <xdr:spPr>
        <a:xfrm>
          <a:off x="31232918" y="1789684"/>
          <a:ext cx="33732" cy="3037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115</xdr:col>
      <xdr:colOff>359073</xdr:colOff>
      <xdr:row>6</xdr:row>
      <xdr:rowOff>11828</xdr:rowOff>
    </xdr:from>
    <xdr:to>
      <xdr:col>116</xdr:col>
      <xdr:colOff>8446</xdr:colOff>
      <xdr:row>6</xdr:row>
      <xdr:rowOff>45558</xdr:rowOff>
    </xdr:to>
    <xdr:cxnSp macro="">
      <xdr:nvCxnSpPr>
        <xdr:cNvPr id="5113" name="MinuteMarker1_23">
          <a:extLst>
            <a:ext uri="{FF2B5EF4-FFF2-40B4-BE49-F238E27FC236}">
              <a16:creationId xmlns:a16="http://schemas.microsoft.com/office/drawing/2014/main" id="{B6E746B2-924E-75B7-4AE7-CA1E4E91B515}"/>
            </a:ext>
          </a:extLst>
        </xdr:cNvPr>
        <xdr:cNvCxnSpPr/>
      </xdr:nvCxnSpPr>
      <xdr:spPr>
        <a:xfrm>
          <a:off x="31172448" y="1850153"/>
          <a:ext cx="30373" cy="3373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115</xdr:col>
      <xdr:colOff>292615</xdr:colOff>
      <xdr:row>6</xdr:row>
      <xdr:rowOff>65645</xdr:rowOff>
    </xdr:from>
    <xdr:to>
      <xdr:col>115</xdr:col>
      <xdr:colOff>319295</xdr:colOff>
      <xdr:row>6</xdr:row>
      <xdr:rowOff>102365</xdr:rowOff>
    </xdr:to>
    <xdr:cxnSp macro="">
      <xdr:nvCxnSpPr>
        <xdr:cNvPr id="5114" name="MinuteMarker1_24">
          <a:extLst>
            <a:ext uri="{FF2B5EF4-FFF2-40B4-BE49-F238E27FC236}">
              <a16:creationId xmlns:a16="http://schemas.microsoft.com/office/drawing/2014/main" id="{50B87D2C-D130-F621-2685-6416A3114AAE}"/>
            </a:ext>
          </a:extLst>
        </xdr:cNvPr>
        <xdr:cNvCxnSpPr/>
      </xdr:nvCxnSpPr>
      <xdr:spPr>
        <a:xfrm>
          <a:off x="31105990" y="1903970"/>
          <a:ext cx="26680" cy="3672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115</xdr:col>
      <xdr:colOff>211817</xdr:colOff>
      <xdr:row>6</xdr:row>
      <xdr:rowOff>96498</xdr:rowOff>
    </xdr:from>
    <xdr:to>
      <xdr:col>115</xdr:col>
      <xdr:colOff>239052</xdr:colOff>
      <xdr:row>6</xdr:row>
      <xdr:rowOff>143667</xdr:rowOff>
    </xdr:to>
    <xdr:cxnSp macro="">
      <xdr:nvCxnSpPr>
        <xdr:cNvPr id="5115" name="MinuteMarker1_25">
          <a:extLst>
            <a:ext uri="{FF2B5EF4-FFF2-40B4-BE49-F238E27FC236}">
              <a16:creationId xmlns:a16="http://schemas.microsoft.com/office/drawing/2014/main" id="{2AD314E1-748C-651B-9E6D-5AF501DEAB75}"/>
            </a:ext>
          </a:extLst>
        </xdr:cNvPr>
        <xdr:cNvCxnSpPr/>
      </xdr:nvCxnSpPr>
      <xdr:spPr>
        <a:xfrm flipH="1" flipV="1">
          <a:off x="31025192" y="1934823"/>
          <a:ext cx="27235" cy="47169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115</xdr:col>
      <xdr:colOff>144698</xdr:colOff>
      <xdr:row>6</xdr:row>
      <xdr:rowOff>151044</xdr:rowOff>
    </xdr:from>
    <xdr:to>
      <xdr:col>115</xdr:col>
      <xdr:colOff>163162</xdr:colOff>
      <xdr:row>6</xdr:row>
      <xdr:rowOff>192509</xdr:rowOff>
    </xdr:to>
    <xdr:cxnSp macro="">
      <xdr:nvCxnSpPr>
        <xdr:cNvPr id="5116" name="MinuteMarker1_26">
          <a:extLst>
            <a:ext uri="{FF2B5EF4-FFF2-40B4-BE49-F238E27FC236}">
              <a16:creationId xmlns:a16="http://schemas.microsoft.com/office/drawing/2014/main" id="{EB8891DD-9193-4FA3-BEEB-D8B0EF4932B3}"/>
            </a:ext>
          </a:extLst>
        </xdr:cNvPr>
        <xdr:cNvCxnSpPr/>
      </xdr:nvCxnSpPr>
      <xdr:spPr>
        <a:xfrm>
          <a:off x="30958073" y="1989369"/>
          <a:ext cx="18464" cy="4146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115</xdr:col>
      <xdr:colOff>64864</xdr:colOff>
      <xdr:row>6</xdr:row>
      <xdr:rowOff>181691</xdr:rowOff>
    </xdr:from>
    <xdr:to>
      <xdr:col>115</xdr:col>
      <xdr:colOff>78888</xdr:colOff>
      <xdr:row>6</xdr:row>
      <xdr:rowOff>224858</xdr:rowOff>
    </xdr:to>
    <xdr:cxnSp macro="">
      <xdr:nvCxnSpPr>
        <xdr:cNvPr id="5117" name="MinuteMarker1_27">
          <a:extLst>
            <a:ext uri="{FF2B5EF4-FFF2-40B4-BE49-F238E27FC236}">
              <a16:creationId xmlns:a16="http://schemas.microsoft.com/office/drawing/2014/main" id="{B3BF4A14-5F84-27CE-2CED-135752904908}"/>
            </a:ext>
          </a:extLst>
        </xdr:cNvPr>
        <xdr:cNvCxnSpPr/>
      </xdr:nvCxnSpPr>
      <xdr:spPr>
        <a:xfrm>
          <a:off x="30878239" y="2020016"/>
          <a:ext cx="14024" cy="4316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363262</xdr:colOff>
      <xdr:row>6</xdr:row>
      <xdr:rowOff>203824</xdr:rowOff>
    </xdr:from>
    <xdr:to>
      <xdr:col>114</xdr:col>
      <xdr:colOff>372697</xdr:colOff>
      <xdr:row>6</xdr:row>
      <xdr:rowOff>248221</xdr:rowOff>
    </xdr:to>
    <xdr:cxnSp macro="">
      <xdr:nvCxnSpPr>
        <xdr:cNvPr id="5118" name="MinuteMarker1_28">
          <a:extLst>
            <a:ext uri="{FF2B5EF4-FFF2-40B4-BE49-F238E27FC236}">
              <a16:creationId xmlns:a16="http://schemas.microsoft.com/office/drawing/2014/main" id="{4FEDDFFD-8726-BEA8-2A8A-F67D4B908124}"/>
            </a:ext>
          </a:extLst>
        </xdr:cNvPr>
        <xdr:cNvCxnSpPr/>
      </xdr:nvCxnSpPr>
      <xdr:spPr>
        <a:xfrm>
          <a:off x="30795637" y="2042149"/>
          <a:ext cx="9435" cy="4439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278795</xdr:colOff>
      <xdr:row>6</xdr:row>
      <xdr:rowOff>217202</xdr:rowOff>
    </xdr:from>
    <xdr:to>
      <xdr:col>114</xdr:col>
      <xdr:colOff>283542</xdr:colOff>
      <xdr:row>6</xdr:row>
      <xdr:rowOff>262342</xdr:rowOff>
    </xdr:to>
    <xdr:cxnSp macro="">
      <xdr:nvCxnSpPr>
        <xdr:cNvPr id="5119" name="MinuteMarker1_29">
          <a:extLst>
            <a:ext uri="{FF2B5EF4-FFF2-40B4-BE49-F238E27FC236}">
              <a16:creationId xmlns:a16="http://schemas.microsoft.com/office/drawing/2014/main" id="{87FC1BD9-66A3-5027-41EB-AB4B3C7F8F2C}"/>
            </a:ext>
          </a:extLst>
        </xdr:cNvPr>
        <xdr:cNvCxnSpPr/>
      </xdr:nvCxnSpPr>
      <xdr:spPr>
        <a:xfrm>
          <a:off x="30711170" y="2055527"/>
          <a:ext cx="4747" cy="4514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193396</xdr:colOff>
      <xdr:row>6</xdr:row>
      <xdr:rowOff>203522</xdr:rowOff>
    </xdr:from>
    <xdr:to>
      <xdr:col>114</xdr:col>
      <xdr:colOff>193396</xdr:colOff>
      <xdr:row>6</xdr:row>
      <xdr:rowOff>257988</xdr:rowOff>
    </xdr:to>
    <xdr:cxnSp macro="">
      <xdr:nvCxnSpPr>
        <xdr:cNvPr id="5120" name="MinuteMarker1_30">
          <a:extLst>
            <a:ext uri="{FF2B5EF4-FFF2-40B4-BE49-F238E27FC236}">
              <a16:creationId xmlns:a16="http://schemas.microsoft.com/office/drawing/2014/main" id="{7916E520-C53B-B155-9DF1-1D38538EBBDB}"/>
            </a:ext>
          </a:extLst>
        </xdr:cNvPr>
        <xdr:cNvCxnSpPr/>
      </xdr:nvCxnSpPr>
      <xdr:spPr>
        <a:xfrm flipV="1">
          <a:off x="30625771" y="2041847"/>
          <a:ext cx="0" cy="54466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103253</xdr:colOff>
      <xdr:row>6</xdr:row>
      <xdr:rowOff>217202</xdr:rowOff>
    </xdr:from>
    <xdr:to>
      <xdr:col>114</xdr:col>
      <xdr:colOff>108000</xdr:colOff>
      <xdr:row>6</xdr:row>
      <xdr:rowOff>262342</xdr:rowOff>
    </xdr:to>
    <xdr:cxnSp macro="">
      <xdr:nvCxnSpPr>
        <xdr:cNvPr id="5121" name="MinuteMarker1_31">
          <a:extLst>
            <a:ext uri="{FF2B5EF4-FFF2-40B4-BE49-F238E27FC236}">
              <a16:creationId xmlns:a16="http://schemas.microsoft.com/office/drawing/2014/main" id="{8DFAC8A7-AD09-B765-378F-BD0DECFF5B03}"/>
            </a:ext>
          </a:extLst>
        </xdr:cNvPr>
        <xdr:cNvCxnSpPr/>
      </xdr:nvCxnSpPr>
      <xdr:spPr>
        <a:xfrm flipH="1">
          <a:off x="30535628" y="2055527"/>
          <a:ext cx="4747" cy="4514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14098</xdr:colOff>
      <xdr:row>6</xdr:row>
      <xdr:rowOff>203824</xdr:rowOff>
    </xdr:from>
    <xdr:to>
      <xdr:col>114</xdr:col>
      <xdr:colOff>23533</xdr:colOff>
      <xdr:row>6</xdr:row>
      <xdr:rowOff>248221</xdr:rowOff>
    </xdr:to>
    <xdr:cxnSp macro="">
      <xdr:nvCxnSpPr>
        <xdr:cNvPr id="5122" name="MinuteMarker1_32">
          <a:extLst>
            <a:ext uri="{FF2B5EF4-FFF2-40B4-BE49-F238E27FC236}">
              <a16:creationId xmlns:a16="http://schemas.microsoft.com/office/drawing/2014/main" id="{578C1FE6-420D-E14B-28AA-ACB7E535E8BA}"/>
            </a:ext>
          </a:extLst>
        </xdr:cNvPr>
        <xdr:cNvCxnSpPr/>
      </xdr:nvCxnSpPr>
      <xdr:spPr>
        <a:xfrm flipH="1">
          <a:off x="30446473" y="2042149"/>
          <a:ext cx="9435" cy="4439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307907</xdr:colOff>
      <xdr:row>6</xdr:row>
      <xdr:rowOff>181691</xdr:rowOff>
    </xdr:from>
    <xdr:to>
      <xdr:col>113</xdr:col>
      <xdr:colOff>321931</xdr:colOff>
      <xdr:row>6</xdr:row>
      <xdr:rowOff>224858</xdr:rowOff>
    </xdr:to>
    <xdr:cxnSp macro="">
      <xdr:nvCxnSpPr>
        <xdr:cNvPr id="5123" name="MinuteMarker1_33">
          <a:extLst>
            <a:ext uri="{FF2B5EF4-FFF2-40B4-BE49-F238E27FC236}">
              <a16:creationId xmlns:a16="http://schemas.microsoft.com/office/drawing/2014/main" id="{F7A4D939-D8D6-EEC6-57ED-7E1F59B425D6}"/>
            </a:ext>
          </a:extLst>
        </xdr:cNvPr>
        <xdr:cNvCxnSpPr/>
      </xdr:nvCxnSpPr>
      <xdr:spPr>
        <a:xfrm flipH="1">
          <a:off x="30359282" y="2020016"/>
          <a:ext cx="14024" cy="4316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223633</xdr:colOff>
      <xdr:row>6</xdr:row>
      <xdr:rowOff>151044</xdr:rowOff>
    </xdr:from>
    <xdr:to>
      <xdr:col>113</xdr:col>
      <xdr:colOff>242097</xdr:colOff>
      <xdr:row>6</xdr:row>
      <xdr:rowOff>192509</xdr:rowOff>
    </xdr:to>
    <xdr:cxnSp macro="">
      <xdr:nvCxnSpPr>
        <xdr:cNvPr id="5124" name="MinuteMarker1_34">
          <a:extLst>
            <a:ext uri="{FF2B5EF4-FFF2-40B4-BE49-F238E27FC236}">
              <a16:creationId xmlns:a16="http://schemas.microsoft.com/office/drawing/2014/main" id="{3F73DE70-9DDA-ACF6-510F-1858F7D6D6B6}"/>
            </a:ext>
          </a:extLst>
        </xdr:cNvPr>
        <xdr:cNvCxnSpPr/>
      </xdr:nvCxnSpPr>
      <xdr:spPr>
        <a:xfrm flipH="1">
          <a:off x="30275008" y="1989369"/>
          <a:ext cx="18464" cy="4146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147743</xdr:colOff>
      <xdr:row>6</xdr:row>
      <xdr:rowOff>96498</xdr:rowOff>
    </xdr:from>
    <xdr:to>
      <xdr:col>113</xdr:col>
      <xdr:colOff>174978</xdr:colOff>
      <xdr:row>6</xdr:row>
      <xdr:rowOff>143667</xdr:rowOff>
    </xdr:to>
    <xdr:cxnSp macro="">
      <xdr:nvCxnSpPr>
        <xdr:cNvPr id="5125" name="MinuteMarker1_35">
          <a:extLst>
            <a:ext uri="{FF2B5EF4-FFF2-40B4-BE49-F238E27FC236}">
              <a16:creationId xmlns:a16="http://schemas.microsoft.com/office/drawing/2014/main" id="{4CD8296C-2C26-D68A-1410-8F52DCBC9A2F}"/>
            </a:ext>
          </a:extLst>
        </xdr:cNvPr>
        <xdr:cNvCxnSpPr/>
      </xdr:nvCxnSpPr>
      <xdr:spPr>
        <a:xfrm flipV="1">
          <a:off x="30199118" y="1934823"/>
          <a:ext cx="27235" cy="47169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67500</xdr:colOff>
      <xdr:row>6</xdr:row>
      <xdr:rowOff>65645</xdr:rowOff>
    </xdr:from>
    <xdr:to>
      <xdr:col>113</xdr:col>
      <xdr:colOff>94180</xdr:colOff>
      <xdr:row>6</xdr:row>
      <xdr:rowOff>102365</xdr:rowOff>
    </xdr:to>
    <xdr:cxnSp macro="">
      <xdr:nvCxnSpPr>
        <xdr:cNvPr id="5126" name="MinuteMarker1_36">
          <a:extLst>
            <a:ext uri="{FF2B5EF4-FFF2-40B4-BE49-F238E27FC236}">
              <a16:creationId xmlns:a16="http://schemas.microsoft.com/office/drawing/2014/main" id="{5B2075EF-D9B6-3ED3-C027-BDE7A92F5886}"/>
            </a:ext>
          </a:extLst>
        </xdr:cNvPr>
        <xdr:cNvCxnSpPr/>
      </xdr:nvCxnSpPr>
      <xdr:spPr>
        <a:xfrm flipH="1">
          <a:off x="30118875" y="1903970"/>
          <a:ext cx="26680" cy="3672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378349</xdr:colOff>
      <xdr:row>6</xdr:row>
      <xdr:rowOff>11828</xdr:rowOff>
    </xdr:from>
    <xdr:to>
      <xdr:col>113</xdr:col>
      <xdr:colOff>27722</xdr:colOff>
      <xdr:row>6</xdr:row>
      <xdr:rowOff>45558</xdr:rowOff>
    </xdr:to>
    <xdr:cxnSp macro="">
      <xdr:nvCxnSpPr>
        <xdr:cNvPr id="5127" name="MinuteMarker1_37">
          <a:extLst>
            <a:ext uri="{FF2B5EF4-FFF2-40B4-BE49-F238E27FC236}">
              <a16:creationId xmlns:a16="http://schemas.microsoft.com/office/drawing/2014/main" id="{92971107-D6AE-ED07-B721-51065CD5FCA9}"/>
            </a:ext>
          </a:extLst>
        </xdr:cNvPr>
        <xdr:cNvCxnSpPr/>
      </xdr:nvCxnSpPr>
      <xdr:spPr>
        <a:xfrm flipH="1">
          <a:off x="30048724" y="1850153"/>
          <a:ext cx="30373" cy="3373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314520</xdr:colOff>
      <xdr:row>5</xdr:row>
      <xdr:rowOff>246634</xdr:rowOff>
    </xdr:from>
    <xdr:to>
      <xdr:col>112</xdr:col>
      <xdr:colOff>348252</xdr:colOff>
      <xdr:row>5</xdr:row>
      <xdr:rowOff>277004</xdr:rowOff>
    </xdr:to>
    <xdr:cxnSp macro="">
      <xdr:nvCxnSpPr>
        <xdr:cNvPr id="5128" name="MinuteMarker1_38">
          <a:extLst>
            <a:ext uri="{FF2B5EF4-FFF2-40B4-BE49-F238E27FC236}">
              <a16:creationId xmlns:a16="http://schemas.microsoft.com/office/drawing/2014/main" id="{BBB7FD8E-AD59-09AA-958E-12CFF2B7E6F0}"/>
            </a:ext>
          </a:extLst>
        </xdr:cNvPr>
        <xdr:cNvCxnSpPr/>
      </xdr:nvCxnSpPr>
      <xdr:spPr>
        <a:xfrm flipH="1">
          <a:off x="29984895" y="1789684"/>
          <a:ext cx="33732" cy="3037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257715</xdr:colOff>
      <xdr:row>5</xdr:row>
      <xdr:rowOff>180175</xdr:rowOff>
    </xdr:from>
    <xdr:to>
      <xdr:col>112</xdr:col>
      <xdr:colOff>294435</xdr:colOff>
      <xdr:row>5</xdr:row>
      <xdr:rowOff>206853</xdr:rowOff>
    </xdr:to>
    <xdr:cxnSp macro="">
      <xdr:nvCxnSpPr>
        <xdr:cNvPr id="5129" name="MinuteMarker1_39">
          <a:extLst>
            <a:ext uri="{FF2B5EF4-FFF2-40B4-BE49-F238E27FC236}">
              <a16:creationId xmlns:a16="http://schemas.microsoft.com/office/drawing/2014/main" id="{7BE9E9FB-FAC4-DA0D-D9B2-F2AB5348C9C2}"/>
            </a:ext>
          </a:extLst>
        </xdr:cNvPr>
        <xdr:cNvCxnSpPr/>
      </xdr:nvCxnSpPr>
      <xdr:spPr>
        <a:xfrm flipH="1">
          <a:off x="29928090" y="1723225"/>
          <a:ext cx="36720" cy="26678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216412</xdr:colOff>
      <xdr:row>5</xdr:row>
      <xdr:rowOff>99377</xdr:rowOff>
    </xdr:from>
    <xdr:to>
      <xdr:col>112</xdr:col>
      <xdr:colOff>263581</xdr:colOff>
      <xdr:row>5</xdr:row>
      <xdr:rowOff>126610</xdr:rowOff>
    </xdr:to>
    <xdr:cxnSp macro="">
      <xdr:nvCxnSpPr>
        <xdr:cNvPr id="5130" name="MinuteMarker1_40">
          <a:extLst>
            <a:ext uri="{FF2B5EF4-FFF2-40B4-BE49-F238E27FC236}">
              <a16:creationId xmlns:a16="http://schemas.microsoft.com/office/drawing/2014/main" id="{24807990-31E5-5A14-6837-0D06B2687BF4}"/>
            </a:ext>
          </a:extLst>
        </xdr:cNvPr>
        <xdr:cNvCxnSpPr/>
      </xdr:nvCxnSpPr>
      <xdr:spPr>
        <a:xfrm flipV="1">
          <a:off x="29886787" y="1642427"/>
          <a:ext cx="47169" cy="27233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167571</xdr:colOff>
      <xdr:row>5</xdr:row>
      <xdr:rowOff>32259</xdr:rowOff>
    </xdr:from>
    <xdr:to>
      <xdr:col>112</xdr:col>
      <xdr:colOff>209035</xdr:colOff>
      <xdr:row>5</xdr:row>
      <xdr:rowOff>50720</xdr:rowOff>
    </xdr:to>
    <xdr:cxnSp macro="">
      <xdr:nvCxnSpPr>
        <xdr:cNvPr id="5131" name="MinuteMarker1_41">
          <a:extLst>
            <a:ext uri="{FF2B5EF4-FFF2-40B4-BE49-F238E27FC236}">
              <a16:creationId xmlns:a16="http://schemas.microsoft.com/office/drawing/2014/main" id="{37C0B60D-9B7E-F88F-BD17-7D1FF22CBB58}"/>
            </a:ext>
          </a:extLst>
        </xdr:cNvPr>
        <xdr:cNvCxnSpPr/>
      </xdr:nvCxnSpPr>
      <xdr:spPr>
        <a:xfrm flipH="1">
          <a:off x="29837946" y="1575309"/>
          <a:ext cx="41464" cy="1846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135223</xdr:colOff>
      <xdr:row>4</xdr:row>
      <xdr:rowOff>247697</xdr:rowOff>
    </xdr:from>
    <xdr:to>
      <xdr:col>112</xdr:col>
      <xdr:colOff>178389</xdr:colOff>
      <xdr:row>4</xdr:row>
      <xdr:rowOff>261723</xdr:rowOff>
    </xdr:to>
    <xdr:cxnSp macro="">
      <xdr:nvCxnSpPr>
        <xdr:cNvPr id="5132" name="MinuteMarker1_42">
          <a:extLst>
            <a:ext uri="{FF2B5EF4-FFF2-40B4-BE49-F238E27FC236}">
              <a16:creationId xmlns:a16="http://schemas.microsoft.com/office/drawing/2014/main" id="{4CE457DC-F3A8-1331-A6AA-7741F55C7AAB}"/>
            </a:ext>
          </a:extLst>
        </xdr:cNvPr>
        <xdr:cNvCxnSpPr/>
      </xdr:nvCxnSpPr>
      <xdr:spPr>
        <a:xfrm flipH="1">
          <a:off x="29805598" y="1495472"/>
          <a:ext cx="43166" cy="14026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111860</xdr:colOff>
      <xdr:row>4</xdr:row>
      <xdr:rowOff>165095</xdr:rowOff>
    </xdr:from>
    <xdr:to>
      <xdr:col>112</xdr:col>
      <xdr:colOff>156254</xdr:colOff>
      <xdr:row>4</xdr:row>
      <xdr:rowOff>174532</xdr:rowOff>
    </xdr:to>
    <xdr:cxnSp macro="">
      <xdr:nvCxnSpPr>
        <xdr:cNvPr id="5133" name="MinuteMarker1_43">
          <a:extLst>
            <a:ext uri="{FF2B5EF4-FFF2-40B4-BE49-F238E27FC236}">
              <a16:creationId xmlns:a16="http://schemas.microsoft.com/office/drawing/2014/main" id="{9ED6E37B-1258-44FE-AE89-98B3BFFE7E01}"/>
            </a:ext>
          </a:extLst>
        </xdr:cNvPr>
        <xdr:cNvCxnSpPr/>
      </xdr:nvCxnSpPr>
      <xdr:spPr>
        <a:xfrm flipH="1">
          <a:off x="29782235" y="1412870"/>
          <a:ext cx="44394" cy="943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97737</xdr:colOff>
      <xdr:row>4</xdr:row>
      <xdr:rowOff>80631</xdr:rowOff>
    </xdr:from>
    <xdr:to>
      <xdr:col>112</xdr:col>
      <xdr:colOff>142878</xdr:colOff>
      <xdr:row>4</xdr:row>
      <xdr:rowOff>85376</xdr:rowOff>
    </xdr:to>
    <xdr:cxnSp macro="">
      <xdr:nvCxnSpPr>
        <xdr:cNvPr id="5134" name="MinuteMarker1_44">
          <a:extLst>
            <a:ext uri="{FF2B5EF4-FFF2-40B4-BE49-F238E27FC236}">
              <a16:creationId xmlns:a16="http://schemas.microsoft.com/office/drawing/2014/main" id="{4CA4EF5A-63DF-6B41-A1DB-66144F234A13}"/>
            </a:ext>
          </a:extLst>
        </xdr:cNvPr>
        <xdr:cNvCxnSpPr/>
      </xdr:nvCxnSpPr>
      <xdr:spPr>
        <a:xfrm flipH="1">
          <a:off x="29768112" y="1328406"/>
          <a:ext cx="45141" cy="474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102090</xdr:colOff>
      <xdr:row>3</xdr:row>
      <xdr:rowOff>404807</xdr:rowOff>
    </xdr:from>
    <xdr:to>
      <xdr:col>112</xdr:col>
      <xdr:colOff>156558</xdr:colOff>
      <xdr:row>3</xdr:row>
      <xdr:rowOff>404807</xdr:rowOff>
    </xdr:to>
    <xdr:cxnSp macro="">
      <xdr:nvCxnSpPr>
        <xdr:cNvPr id="5135" name="MinuteMarker1_45">
          <a:extLst>
            <a:ext uri="{FF2B5EF4-FFF2-40B4-BE49-F238E27FC236}">
              <a16:creationId xmlns:a16="http://schemas.microsoft.com/office/drawing/2014/main" id="{82A9AAF0-1C70-78A7-B667-075876B27EBC}"/>
            </a:ext>
          </a:extLst>
        </xdr:cNvPr>
        <xdr:cNvCxnSpPr/>
      </xdr:nvCxnSpPr>
      <xdr:spPr>
        <a:xfrm>
          <a:off x="29772465" y="1243007"/>
          <a:ext cx="54468" cy="0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97737</xdr:colOff>
      <xdr:row>3</xdr:row>
      <xdr:rowOff>314663</xdr:rowOff>
    </xdr:from>
    <xdr:to>
      <xdr:col>112</xdr:col>
      <xdr:colOff>142878</xdr:colOff>
      <xdr:row>3</xdr:row>
      <xdr:rowOff>319408</xdr:rowOff>
    </xdr:to>
    <xdr:cxnSp macro="">
      <xdr:nvCxnSpPr>
        <xdr:cNvPr id="5136" name="MinuteMarker1_46">
          <a:extLst>
            <a:ext uri="{FF2B5EF4-FFF2-40B4-BE49-F238E27FC236}">
              <a16:creationId xmlns:a16="http://schemas.microsoft.com/office/drawing/2014/main" id="{9832F611-D3A8-CF0F-8B99-91E4BE219DA4}"/>
            </a:ext>
          </a:extLst>
        </xdr:cNvPr>
        <xdr:cNvCxnSpPr/>
      </xdr:nvCxnSpPr>
      <xdr:spPr>
        <a:xfrm flipH="1" flipV="1">
          <a:off x="29768112" y="1152863"/>
          <a:ext cx="45141" cy="474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111860</xdr:colOff>
      <xdr:row>3</xdr:row>
      <xdr:rowOff>225507</xdr:rowOff>
    </xdr:from>
    <xdr:to>
      <xdr:col>112</xdr:col>
      <xdr:colOff>156254</xdr:colOff>
      <xdr:row>3</xdr:row>
      <xdr:rowOff>234944</xdr:rowOff>
    </xdr:to>
    <xdr:cxnSp macro="">
      <xdr:nvCxnSpPr>
        <xdr:cNvPr id="5137" name="MinuteMarker1_47">
          <a:extLst>
            <a:ext uri="{FF2B5EF4-FFF2-40B4-BE49-F238E27FC236}">
              <a16:creationId xmlns:a16="http://schemas.microsoft.com/office/drawing/2014/main" id="{C166DE7C-0DC4-4C53-0F34-32BC70641D7C}"/>
            </a:ext>
          </a:extLst>
        </xdr:cNvPr>
        <xdr:cNvCxnSpPr/>
      </xdr:nvCxnSpPr>
      <xdr:spPr>
        <a:xfrm flipH="1" flipV="1">
          <a:off x="29782235" y="1063707"/>
          <a:ext cx="44394" cy="943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135223</xdr:colOff>
      <xdr:row>3</xdr:row>
      <xdr:rowOff>138316</xdr:rowOff>
    </xdr:from>
    <xdr:to>
      <xdr:col>112</xdr:col>
      <xdr:colOff>178389</xdr:colOff>
      <xdr:row>3</xdr:row>
      <xdr:rowOff>152342</xdr:rowOff>
    </xdr:to>
    <xdr:cxnSp macro="">
      <xdr:nvCxnSpPr>
        <xdr:cNvPr id="5138" name="MinuteMarker1_48">
          <a:extLst>
            <a:ext uri="{FF2B5EF4-FFF2-40B4-BE49-F238E27FC236}">
              <a16:creationId xmlns:a16="http://schemas.microsoft.com/office/drawing/2014/main" id="{C3127B4F-5A31-D44A-A3CF-1FD91CE9A897}"/>
            </a:ext>
          </a:extLst>
        </xdr:cNvPr>
        <xdr:cNvCxnSpPr/>
      </xdr:nvCxnSpPr>
      <xdr:spPr>
        <a:xfrm flipH="1" flipV="1">
          <a:off x="29805598" y="976516"/>
          <a:ext cx="43166" cy="14026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167571</xdr:colOff>
      <xdr:row>3</xdr:row>
      <xdr:rowOff>54044</xdr:rowOff>
    </xdr:from>
    <xdr:to>
      <xdr:col>112</xdr:col>
      <xdr:colOff>209035</xdr:colOff>
      <xdr:row>3</xdr:row>
      <xdr:rowOff>72505</xdr:rowOff>
    </xdr:to>
    <xdr:cxnSp macro="">
      <xdr:nvCxnSpPr>
        <xdr:cNvPr id="5139" name="MinuteMarker1_49">
          <a:extLst>
            <a:ext uri="{FF2B5EF4-FFF2-40B4-BE49-F238E27FC236}">
              <a16:creationId xmlns:a16="http://schemas.microsoft.com/office/drawing/2014/main" id="{3425D5FB-1E23-F813-6AB0-4CC08219537B}"/>
            </a:ext>
          </a:extLst>
        </xdr:cNvPr>
        <xdr:cNvCxnSpPr/>
      </xdr:nvCxnSpPr>
      <xdr:spPr>
        <a:xfrm flipH="1" flipV="1">
          <a:off x="29837946" y="892244"/>
          <a:ext cx="41464" cy="1846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216412</xdr:colOff>
      <xdr:row>2</xdr:row>
      <xdr:rowOff>273429</xdr:rowOff>
    </xdr:from>
    <xdr:to>
      <xdr:col>112</xdr:col>
      <xdr:colOff>263581</xdr:colOff>
      <xdr:row>3</xdr:row>
      <xdr:rowOff>5387</xdr:rowOff>
    </xdr:to>
    <xdr:cxnSp macro="">
      <xdr:nvCxnSpPr>
        <xdr:cNvPr id="5140" name="MinuteMarker1_50">
          <a:extLst>
            <a:ext uri="{FF2B5EF4-FFF2-40B4-BE49-F238E27FC236}">
              <a16:creationId xmlns:a16="http://schemas.microsoft.com/office/drawing/2014/main" id="{37149AD4-49F7-4D16-AD95-7C8DBF110156}"/>
            </a:ext>
          </a:extLst>
        </xdr:cNvPr>
        <xdr:cNvCxnSpPr/>
      </xdr:nvCxnSpPr>
      <xdr:spPr>
        <a:xfrm>
          <a:off x="29886787" y="816354"/>
          <a:ext cx="47169" cy="27233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257715</xdr:colOff>
      <xdr:row>2</xdr:row>
      <xdr:rowOff>193185</xdr:rowOff>
    </xdr:from>
    <xdr:to>
      <xdr:col>112</xdr:col>
      <xdr:colOff>294435</xdr:colOff>
      <xdr:row>2</xdr:row>
      <xdr:rowOff>219864</xdr:rowOff>
    </xdr:to>
    <xdr:cxnSp macro="">
      <xdr:nvCxnSpPr>
        <xdr:cNvPr id="5141" name="MinuteMarker1_51">
          <a:extLst>
            <a:ext uri="{FF2B5EF4-FFF2-40B4-BE49-F238E27FC236}">
              <a16:creationId xmlns:a16="http://schemas.microsoft.com/office/drawing/2014/main" id="{23F14BAA-D898-EE6E-050F-EE8749026903}"/>
            </a:ext>
          </a:extLst>
        </xdr:cNvPr>
        <xdr:cNvCxnSpPr/>
      </xdr:nvCxnSpPr>
      <xdr:spPr>
        <a:xfrm flipH="1" flipV="1">
          <a:off x="29928090" y="736110"/>
          <a:ext cx="36720" cy="26679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314520</xdr:colOff>
      <xdr:row>2</xdr:row>
      <xdr:rowOff>123035</xdr:rowOff>
    </xdr:from>
    <xdr:to>
      <xdr:col>112</xdr:col>
      <xdr:colOff>348252</xdr:colOff>
      <xdr:row>2</xdr:row>
      <xdr:rowOff>153406</xdr:rowOff>
    </xdr:to>
    <xdr:cxnSp macro="">
      <xdr:nvCxnSpPr>
        <xdr:cNvPr id="5142" name="MinuteMarker1_52">
          <a:extLst>
            <a:ext uri="{FF2B5EF4-FFF2-40B4-BE49-F238E27FC236}">
              <a16:creationId xmlns:a16="http://schemas.microsoft.com/office/drawing/2014/main" id="{79947909-8371-FF45-CFF1-A289539263BA}"/>
            </a:ext>
          </a:extLst>
        </xdr:cNvPr>
        <xdr:cNvCxnSpPr/>
      </xdr:nvCxnSpPr>
      <xdr:spPr>
        <a:xfrm flipH="1" flipV="1">
          <a:off x="29984895" y="665960"/>
          <a:ext cx="33732" cy="3037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378349</xdr:colOff>
      <xdr:row>2</xdr:row>
      <xdr:rowOff>59206</xdr:rowOff>
    </xdr:from>
    <xdr:to>
      <xdr:col>113</xdr:col>
      <xdr:colOff>27722</xdr:colOff>
      <xdr:row>2</xdr:row>
      <xdr:rowOff>92936</xdr:rowOff>
    </xdr:to>
    <xdr:cxnSp macro="">
      <xdr:nvCxnSpPr>
        <xdr:cNvPr id="5143" name="MinuteMarker1_53">
          <a:extLst>
            <a:ext uri="{FF2B5EF4-FFF2-40B4-BE49-F238E27FC236}">
              <a16:creationId xmlns:a16="http://schemas.microsoft.com/office/drawing/2014/main" id="{09C04602-C13A-479F-5507-56C08EC0B758}"/>
            </a:ext>
          </a:extLst>
        </xdr:cNvPr>
        <xdr:cNvCxnSpPr/>
      </xdr:nvCxnSpPr>
      <xdr:spPr>
        <a:xfrm flipH="1" flipV="1">
          <a:off x="30048724" y="602131"/>
          <a:ext cx="30373" cy="3373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67500</xdr:colOff>
      <xdr:row>2</xdr:row>
      <xdr:rowOff>2399</xdr:rowOff>
    </xdr:from>
    <xdr:to>
      <xdr:col>113</xdr:col>
      <xdr:colOff>94180</xdr:colOff>
      <xdr:row>2</xdr:row>
      <xdr:rowOff>39119</xdr:rowOff>
    </xdr:to>
    <xdr:cxnSp macro="">
      <xdr:nvCxnSpPr>
        <xdr:cNvPr id="5144" name="MinuteMarker1_54">
          <a:extLst>
            <a:ext uri="{FF2B5EF4-FFF2-40B4-BE49-F238E27FC236}">
              <a16:creationId xmlns:a16="http://schemas.microsoft.com/office/drawing/2014/main" id="{002A6A04-9844-8560-29FD-B28759B75E37}"/>
            </a:ext>
          </a:extLst>
        </xdr:cNvPr>
        <xdr:cNvCxnSpPr/>
      </xdr:nvCxnSpPr>
      <xdr:spPr>
        <a:xfrm flipH="1" flipV="1">
          <a:off x="30118875" y="545324"/>
          <a:ext cx="26680" cy="3672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147743</xdr:colOff>
      <xdr:row>1</xdr:row>
      <xdr:rowOff>256372</xdr:rowOff>
    </xdr:from>
    <xdr:to>
      <xdr:col>113</xdr:col>
      <xdr:colOff>174978</xdr:colOff>
      <xdr:row>2</xdr:row>
      <xdr:rowOff>8266</xdr:rowOff>
    </xdr:to>
    <xdr:cxnSp macro="">
      <xdr:nvCxnSpPr>
        <xdr:cNvPr id="5145" name="MinuteMarker1_55">
          <a:extLst>
            <a:ext uri="{FF2B5EF4-FFF2-40B4-BE49-F238E27FC236}">
              <a16:creationId xmlns:a16="http://schemas.microsoft.com/office/drawing/2014/main" id="{60589DE0-D9CD-ED41-D0E4-BB1CFEC6C187}"/>
            </a:ext>
          </a:extLst>
        </xdr:cNvPr>
        <xdr:cNvCxnSpPr/>
      </xdr:nvCxnSpPr>
      <xdr:spPr>
        <a:xfrm>
          <a:off x="30199118" y="504022"/>
          <a:ext cx="27235" cy="47169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223633</xdr:colOff>
      <xdr:row>1</xdr:row>
      <xdr:rowOff>207530</xdr:rowOff>
    </xdr:from>
    <xdr:to>
      <xdr:col>113</xdr:col>
      <xdr:colOff>242097</xdr:colOff>
      <xdr:row>1</xdr:row>
      <xdr:rowOff>248995</xdr:rowOff>
    </xdr:to>
    <xdr:cxnSp macro="">
      <xdr:nvCxnSpPr>
        <xdr:cNvPr id="5146" name="MinuteMarker1_56">
          <a:extLst>
            <a:ext uri="{FF2B5EF4-FFF2-40B4-BE49-F238E27FC236}">
              <a16:creationId xmlns:a16="http://schemas.microsoft.com/office/drawing/2014/main" id="{77BBA7B3-9AE2-B7F2-ED5C-EC6A2D789830}"/>
            </a:ext>
          </a:extLst>
        </xdr:cNvPr>
        <xdr:cNvCxnSpPr/>
      </xdr:nvCxnSpPr>
      <xdr:spPr>
        <a:xfrm flipH="1" flipV="1">
          <a:off x="30275008" y="455180"/>
          <a:ext cx="18464" cy="4146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307907</xdr:colOff>
      <xdr:row>1</xdr:row>
      <xdr:rowOff>175181</xdr:rowOff>
    </xdr:from>
    <xdr:to>
      <xdr:col>113</xdr:col>
      <xdr:colOff>321931</xdr:colOff>
      <xdr:row>1</xdr:row>
      <xdr:rowOff>218348</xdr:rowOff>
    </xdr:to>
    <xdr:cxnSp macro="">
      <xdr:nvCxnSpPr>
        <xdr:cNvPr id="5147" name="MinuteMarker1_57">
          <a:extLst>
            <a:ext uri="{FF2B5EF4-FFF2-40B4-BE49-F238E27FC236}">
              <a16:creationId xmlns:a16="http://schemas.microsoft.com/office/drawing/2014/main" id="{CEEB0F44-3749-FE05-981D-D1C72AD954D0}"/>
            </a:ext>
          </a:extLst>
        </xdr:cNvPr>
        <xdr:cNvCxnSpPr/>
      </xdr:nvCxnSpPr>
      <xdr:spPr>
        <a:xfrm flipH="1" flipV="1">
          <a:off x="30359282" y="422831"/>
          <a:ext cx="14024" cy="4316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14098</xdr:colOff>
      <xdr:row>1</xdr:row>
      <xdr:rowOff>151818</xdr:rowOff>
    </xdr:from>
    <xdr:to>
      <xdr:col>114</xdr:col>
      <xdr:colOff>23533</xdr:colOff>
      <xdr:row>1</xdr:row>
      <xdr:rowOff>196215</xdr:rowOff>
    </xdr:to>
    <xdr:cxnSp macro="">
      <xdr:nvCxnSpPr>
        <xdr:cNvPr id="5148" name="MinuteMarker1_58">
          <a:extLst>
            <a:ext uri="{FF2B5EF4-FFF2-40B4-BE49-F238E27FC236}">
              <a16:creationId xmlns:a16="http://schemas.microsoft.com/office/drawing/2014/main" id="{0E161AF9-E497-26BE-ACC5-FD2F00D78585}"/>
            </a:ext>
          </a:extLst>
        </xdr:cNvPr>
        <xdr:cNvCxnSpPr/>
      </xdr:nvCxnSpPr>
      <xdr:spPr>
        <a:xfrm flipH="1" flipV="1">
          <a:off x="30446473" y="399468"/>
          <a:ext cx="9435" cy="4439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103253</xdr:colOff>
      <xdr:row>1</xdr:row>
      <xdr:rowOff>137697</xdr:rowOff>
    </xdr:from>
    <xdr:to>
      <xdr:col>114</xdr:col>
      <xdr:colOff>108000</xdr:colOff>
      <xdr:row>1</xdr:row>
      <xdr:rowOff>182837</xdr:rowOff>
    </xdr:to>
    <xdr:cxnSp macro="">
      <xdr:nvCxnSpPr>
        <xdr:cNvPr id="5149" name="MinuteMarker1_59">
          <a:extLst>
            <a:ext uri="{FF2B5EF4-FFF2-40B4-BE49-F238E27FC236}">
              <a16:creationId xmlns:a16="http://schemas.microsoft.com/office/drawing/2014/main" id="{30B5CC76-0C84-0369-436F-6E4EEF7D2809}"/>
            </a:ext>
          </a:extLst>
        </xdr:cNvPr>
        <xdr:cNvCxnSpPr/>
      </xdr:nvCxnSpPr>
      <xdr:spPr>
        <a:xfrm flipH="1" flipV="1">
          <a:off x="30535628" y="385347"/>
          <a:ext cx="4747" cy="4514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183871</xdr:colOff>
      <xdr:row>1</xdr:row>
      <xdr:rowOff>142062</xdr:rowOff>
    </xdr:from>
    <xdr:to>
      <xdr:col>119</xdr:col>
      <xdr:colOff>183871</xdr:colOff>
      <xdr:row>1</xdr:row>
      <xdr:rowOff>196528</xdr:rowOff>
    </xdr:to>
    <xdr:cxnSp macro="">
      <xdr:nvCxnSpPr>
        <xdr:cNvPr id="5152" name="MinuteMarker2_0">
          <a:extLst>
            <a:ext uri="{FF2B5EF4-FFF2-40B4-BE49-F238E27FC236}">
              <a16:creationId xmlns:a16="http://schemas.microsoft.com/office/drawing/2014/main" id="{0BE68B84-259D-E257-EB42-F12945F6E71A}"/>
            </a:ext>
          </a:extLst>
        </xdr:cNvPr>
        <xdr:cNvCxnSpPr/>
      </xdr:nvCxnSpPr>
      <xdr:spPr>
        <a:xfrm>
          <a:off x="32521246" y="389712"/>
          <a:ext cx="0" cy="54466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269270</xdr:colOff>
      <xdr:row>1</xdr:row>
      <xdr:rowOff>137708</xdr:rowOff>
    </xdr:from>
    <xdr:to>
      <xdr:col>119</xdr:col>
      <xdr:colOff>274017</xdr:colOff>
      <xdr:row>1</xdr:row>
      <xdr:rowOff>182848</xdr:rowOff>
    </xdr:to>
    <xdr:cxnSp macro="">
      <xdr:nvCxnSpPr>
        <xdr:cNvPr id="5153" name="MinuteMarker2_1">
          <a:extLst>
            <a:ext uri="{FF2B5EF4-FFF2-40B4-BE49-F238E27FC236}">
              <a16:creationId xmlns:a16="http://schemas.microsoft.com/office/drawing/2014/main" id="{7D33C6B4-EE9D-5918-CC36-6995E22A2956}"/>
            </a:ext>
          </a:extLst>
        </xdr:cNvPr>
        <xdr:cNvCxnSpPr/>
      </xdr:nvCxnSpPr>
      <xdr:spPr>
        <a:xfrm flipV="1">
          <a:off x="32606645" y="385358"/>
          <a:ext cx="4747" cy="4514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353737</xdr:colOff>
      <xdr:row>1</xdr:row>
      <xdr:rowOff>151829</xdr:rowOff>
    </xdr:from>
    <xdr:to>
      <xdr:col>119</xdr:col>
      <xdr:colOff>363172</xdr:colOff>
      <xdr:row>1</xdr:row>
      <xdr:rowOff>196226</xdr:rowOff>
    </xdr:to>
    <xdr:cxnSp macro="">
      <xdr:nvCxnSpPr>
        <xdr:cNvPr id="5154" name="MinuteMarker2_2">
          <a:extLst>
            <a:ext uri="{FF2B5EF4-FFF2-40B4-BE49-F238E27FC236}">
              <a16:creationId xmlns:a16="http://schemas.microsoft.com/office/drawing/2014/main" id="{D1B3AC7F-1DC6-A27C-6507-7A3A320E7BBA}"/>
            </a:ext>
          </a:extLst>
        </xdr:cNvPr>
        <xdr:cNvCxnSpPr/>
      </xdr:nvCxnSpPr>
      <xdr:spPr>
        <a:xfrm flipV="1">
          <a:off x="32691112" y="399479"/>
          <a:ext cx="9435" cy="4439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120</xdr:col>
      <xdr:colOff>55339</xdr:colOff>
      <xdr:row>1</xdr:row>
      <xdr:rowOff>175192</xdr:rowOff>
    </xdr:from>
    <xdr:to>
      <xdr:col>120</xdr:col>
      <xdr:colOff>69363</xdr:colOff>
      <xdr:row>1</xdr:row>
      <xdr:rowOff>218359</xdr:rowOff>
    </xdr:to>
    <xdr:cxnSp macro="">
      <xdr:nvCxnSpPr>
        <xdr:cNvPr id="5155" name="MinuteMarker2_3">
          <a:extLst>
            <a:ext uri="{FF2B5EF4-FFF2-40B4-BE49-F238E27FC236}">
              <a16:creationId xmlns:a16="http://schemas.microsoft.com/office/drawing/2014/main" id="{B529C277-2A1D-928B-125B-1DED0E823AC1}"/>
            </a:ext>
          </a:extLst>
        </xdr:cNvPr>
        <xdr:cNvCxnSpPr/>
      </xdr:nvCxnSpPr>
      <xdr:spPr>
        <a:xfrm flipV="1">
          <a:off x="32773714" y="422842"/>
          <a:ext cx="14024" cy="4316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120</xdr:col>
      <xdr:colOff>135173</xdr:colOff>
      <xdr:row>1</xdr:row>
      <xdr:rowOff>207541</xdr:rowOff>
    </xdr:from>
    <xdr:to>
      <xdr:col>120</xdr:col>
      <xdr:colOff>153637</xdr:colOff>
      <xdr:row>1</xdr:row>
      <xdr:rowOff>249006</xdr:rowOff>
    </xdr:to>
    <xdr:cxnSp macro="">
      <xdr:nvCxnSpPr>
        <xdr:cNvPr id="5156" name="MinuteMarker2_4">
          <a:extLst>
            <a:ext uri="{FF2B5EF4-FFF2-40B4-BE49-F238E27FC236}">
              <a16:creationId xmlns:a16="http://schemas.microsoft.com/office/drawing/2014/main" id="{B535957D-453D-E77D-4BD3-CC9A2EFC7A0E}"/>
            </a:ext>
          </a:extLst>
        </xdr:cNvPr>
        <xdr:cNvCxnSpPr/>
      </xdr:nvCxnSpPr>
      <xdr:spPr>
        <a:xfrm flipV="1">
          <a:off x="32853548" y="455191"/>
          <a:ext cx="18464" cy="4146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120</xdr:col>
      <xdr:colOff>202292</xdr:colOff>
      <xdr:row>1</xdr:row>
      <xdr:rowOff>256383</xdr:rowOff>
    </xdr:from>
    <xdr:to>
      <xdr:col>120</xdr:col>
      <xdr:colOff>229527</xdr:colOff>
      <xdr:row>2</xdr:row>
      <xdr:rowOff>8277</xdr:rowOff>
    </xdr:to>
    <xdr:cxnSp macro="">
      <xdr:nvCxnSpPr>
        <xdr:cNvPr id="5157" name="MinuteMarker2_5">
          <a:extLst>
            <a:ext uri="{FF2B5EF4-FFF2-40B4-BE49-F238E27FC236}">
              <a16:creationId xmlns:a16="http://schemas.microsoft.com/office/drawing/2014/main" id="{19920DDC-F8F8-BCBF-C7F5-B46930D7FA2F}"/>
            </a:ext>
          </a:extLst>
        </xdr:cNvPr>
        <xdr:cNvCxnSpPr/>
      </xdr:nvCxnSpPr>
      <xdr:spPr>
        <a:xfrm flipH="1">
          <a:off x="32920667" y="504033"/>
          <a:ext cx="27235" cy="47169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120</xdr:col>
      <xdr:colOff>283090</xdr:colOff>
      <xdr:row>2</xdr:row>
      <xdr:rowOff>2410</xdr:rowOff>
    </xdr:from>
    <xdr:to>
      <xdr:col>120</xdr:col>
      <xdr:colOff>309770</xdr:colOff>
      <xdr:row>2</xdr:row>
      <xdr:rowOff>39130</xdr:rowOff>
    </xdr:to>
    <xdr:cxnSp macro="">
      <xdr:nvCxnSpPr>
        <xdr:cNvPr id="5158" name="MinuteMarker2_6">
          <a:extLst>
            <a:ext uri="{FF2B5EF4-FFF2-40B4-BE49-F238E27FC236}">
              <a16:creationId xmlns:a16="http://schemas.microsoft.com/office/drawing/2014/main" id="{9942B25F-EE50-C36E-DD84-6C61CE2D61EC}"/>
            </a:ext>
          </a:extLst>
        </xdr:cNvPr>
        <xdr:cNvCxnSpPr/>
      </xdr:nvCxnSpPr>
      <xdr:spPr>
        <a:xfrm flipV="1">
          <a:off x="33001465" y="545335"/>
          <a:ext cx="26680" cy="3672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120</xdr:col>
      <xdr:colOff>349548</xdr:colOff>
      <xdr:row>2</xdr:row>
      <xdr:rowOff>59217</xdr:rowOff>
    </xdr:from>
    <xdr:to>
      <xdr:col>120</xdr:col>
      <xdr:colOff>379921</xdr:colOff>
      <xdr:row>2</xdr:row>
      <xdr:rowOff>92947</xdr:rowOff>
    </xdr:to>
    <xdr:cxnSp macro="">
      <xdr:nvCxnSpPr>
        <xdr:cNvPr id="5159" name="MinuteMarker2_7">
          <a:extLst>
            <a:ext uri="{FF2B5EF4-FFF2-40B4-BE49-F238E27FC236}">
              <a16:creationId xmlns:a16="http://schemas.microsoft.com/office/drawing/2014/main" id="{507D4BDF-A8F2-4B3F-D99A-16B7ADA34F68}"/>
            </a:ext>
          </a:extLst>
        </xdr:cNvPr>
        <xdr:cNvCxnSpPr/>
      </xdr:nvCxnSpPr>
      <xdr:spPr>
        <a:xfrm flipV="1">
          <a:off x="33067923" y="602142"/>
          <a:ext cx="30373" cy="3373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29018</xdr:colOff>
      <xdr:row>2</xdr:row>
      <xdr:rowOff>123046</xdr:rowOff>
    </xdr:from>
    <xdr:to>
      <xdr:col>121</xdr:col>
      <xdr:colOff>62750</xdr:colOff>
      <xdr:row>2</xdr:row>
      <xdr:rowOff>153417</xdr:rowOff>
    </xdr:to>
    <xdr:cxnSp macro="">
      <xdr:nvCxnSpPr>
        <xdr:cNvPr id="5160" name="MinuteMarker2_8">
          <a:extLst>
            <a:ext uri="{FF2B5EF4-FFF2-40B4-BE49-F238E27FC236}">
              <a16:creationId xmlns:a16="http://schemas.microsoft.com/office/drawing/2014/main" id="{A5B7CC82-F572-7EF4-A8B8-4CD24B7E6643}"/>
            </a:ext>
          </a:extLst>
        </xdr:cNvPr>
        <xdr:cNvCxnSpPr/>
      </xdr:nvCxnSpPr>
      <xdr:spPr>
        <a:xfrm flipV="1">
          <a:off x="33128393" y="665971"/>
          <a:ext cx="33732" cy="3037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82835</xdr:colOff>
      <xdr:row>2</xdr:row>
      <xdr:rowOff>193196</xdr:rowOff>
    </xdr:from>
    <xdr:to>
      <xdr:col>121</xdr:col>
      <xdr:colOff>119555</xdr:colOff>
      <xdr:row>2</xdr:row>
      <xdr:rowOff>219875</xdr:rowOff>
    </xdr:to>
    <xdr:cxnSp macro="">
      <xdr:nvCxnSpPr>
        <xdr:cNvPr id="5161" name="MinuteMarker2_9">
          <a:extLst>
            <a:ext uri="{FF2B5EF4-FFF2-40B4-BE49-F238E27FC236}">
              <a16:creationId xmlns:a16="http://schemas.microsoft.com/office/drawing/2014/main" id="{ACF27D82-9A23-45CB-0E46-6C193B123E73}"/>
            </a:ext>
          </a:extLst>
        </xdr:cNvPr>
        <xdr:cNvCxnSpPr/>
      </xdr:nvCxnSpPr>
      <xdr:spPr>
        <a:xfrm flipV="1">
          <a:off x="33182210" y="736121"/>
          <a:ext cx="36720" cy="26679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113689</xdr:colOff>
      <xdr:row>2</xdr:row>
      <xdr:rowOff>273440</xdr:rowOff>
    </xdr:from>
    <xdr:to>
      <xdr:col>121</xdr:col>
      <xdr:colOff>160858</xdr:colOff>
      <xdr:row>3</xdr:row>
      <xdr:rowOff>5398</xdr:rowOff>
    </xdr:to>
    <xdr:cxnSp macro="">
      <xdr:nvCxnSpPr>
        <xdr:cNvPr id="5162" name="MinuteMarker2_10">
          <a:extLst>
            <a:ext uri="{FF2B5EF4-FFF2-40B4-BE49-F238E27FC236}">
              <a16:creationId xmlns:a16="http://schemas.microsoft.com/office/drawing/2014/main" id="{86C35841-0839-9F40-665C-C5A27A94D01A}"/>
            </a:ext>
          </a:extLst>
        </xdr:cNvPr>
        <xdr:cNvCxnSpPr/>
      </xdr:nvCxnSpPr>
      <xdr:spPr>
        <a:xfrm flipH="1">
          <a:off x="33213064" y="816365"/>
          <a:ext cx="47169" cy="27233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168235</xdr:colOff>
      <xdr:row>3</xdr:row>
      <xdr:rowOff>54055</xdr:rowOff>
    </xdr:from>
    <xdr:to>
      <xdr:col>121</xdr:col>
      <xdr:colOff>209699</xdr:colOff>
      <xdr:row>3</xdr:row>
      <xdr:rowOff>72516</xdr:rowOff>
    </xdr:to>
    <xdr:cxnSp macro="">
      <xdr:nvCxnSpPr>
        <xdr:cNvPr id="5163" name="MinuteMarker2_11">
          <a:extLst>
            <a:ext uri="{FF2B5EF4-FFF2-40B4-BE49-F238E27FC236}">
              <a16:creationId xmlns:a16="http://schemas.microsoft.com/office/drawing/2014/main" id="{D8AA0E78-C80C-101F-D060-B08CECCD6198}"/>
            </a:ext>
          </a:extLst>
        </xdr:cNvPr>
        <xdr:cNvCxnSpPr/>
      </xdr:nvCxnSpPr>
      <xdr:spPr>
        <a:xfrm flipV="1">
          <a:off x="33267610" y="892255"/>
          <a:ext cx="41464" cy="1846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198881</xdr:colOff>
      <xdr:row>3</xdr:row>
      <xdr:rowOff>138327</xdr:rowOff>
    </xdr:from>
    <xdr:to>
      <xdr:col>121</xdr:col>
      <xdr:colOff>242047</xdr:colOff>
      <xdr:row>3</xdr:row>
      <xdr:rowOff>152353</xdr:rowOff>
    </xdr:to>
    <xdr:cxnSp macro="">
      <xdr:nvCxnSpPr>
        <xdr:cNvPr id="5164" name="MinuteMarker2_12">
          <a:extLst>
            <a:ext uri="{FF2B5EF4-FFF2-40B4-BE49-F238E27FC236}">
              <a16:creationId xmlns:a16="http://schemas.microsoft.com/office/drawing/2014/main" id="{4088A166-BA04-5483-B11A-E5484D586BB7}"/>
            </a:ext>
          </a:extLst>
        </xdr:cNvPr>
        <xdr:cNvCxnSpPr/>
      </xdr:nvCxnSpPr>
      <xdr:spPr>
        <a:xfrm flipV="1">
          <a:off x="33298256" y="976527"/>
          <a:ext cx="43166" cy="14026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221016</xdr:colOff>
      <xdr:row>3</xdr:row>
      <xdr:rowOff>225518</xdr:rowOff>
    </xdr:from>
    <xdr:to>
      <xdr:col>121</xdr:col>
      <xdr:colOff>265410</xdr:colOff>
      <xdr:row>3</xdr:row>
      <xdr:rowOff>234955</xdr:rowOff>
    </xdr:to>
    <xdr:cxnSp macro="">
      <xdr:nvCxnSpPr>
        <xdr:cNvPr id="5165" name="MinuteMarker2_13">
          <a:extLst>
            <a:ext uri="{FF2B5EF4-FFF2-40B4-BE49-F238E27FC236}">
              <a16:creationId xmlns:a16="http://schemas.microsoft.com/office/drawing/2014/main" id="{01D06935-1434-D699-168E-9487C3BB56A7}"/>
            </a:ext>
          </a:extLst>
        </xdr:cNvPr>
        <xdr:cNvCxnSpPr/>
      </xdr:nvCxnSpPr>
      <xdr:spPr>
        <a:xfrm flipV="1">
          <a:off x="33320391" y="1063718"/>
          <a:ext cx="44394" cy="943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234392</xdr:colOff>
      <xdr:row>3</xdr:row>
      <xdr:rowOff>314674</xdr:rowOff>
    </xdr:from>
    <xdr:to>
      <xdr:col>121</xdr:col>
      <xdr:colOff>279533</xdr:colOff>
      <xdr:row>3</xdr:row>
      <xdr:rowOff>319419</xdr:rowOff>
    </xdr:to>
    <xdr:cxnSp macro="">
      <xdr:nvCxnSpPr>
        <xdr:cNvPr id="5166" name="MinuteMarker2_14">
          <a:extLst>
            <a:ext uri="{FF2B5EF4-FFF2-40B4-BE49-F238E27FC236}">
              <a16:creationId xmlns:a16="http://schemas.microsoft.com/office/drawing/2014/main" id="{CBFBDE00-1684-6B5E-E80D-3E516A2D38BA}"/>
            </a:ext>
          </a:extLst>
        </xdr:cNvPr>
        <xdr:cNvCxnSpPr/>
      </xdr:nvCxnSpPr>
      <xdr:spPr>
        <a:xfrm flipV="1">
          <a:off x="33333767" y="1152874"/>
          <a:ext cx="45141" cy="474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220712</xdr:colOff>
      <xdr:row>3</xdr:row>
      <xdr:rowOff>404818</xdr:rowOff>
    </xdr:from>
    <xdr:to>
      <xdr:col>121</xdr:col>
      <xdr:colOff>275180</xdr:colOff>
      <xdr:row>3</xdr:row>
      <xdr:rowOff>404818</xdr:rowOff>
    </xdr:to>
    <xdr:cxnSp macro="">
      <xdr:nvCxnSpPr>
        <xdr:cNvPr id="5167" name="MinuteMarker2_15">
          <a:extLst>
            <a:ext uri="{FF2B5EF4-FFF2-40B4-BE49-F238E27FC236}">
              <a16:creationId xmlns:a16="http://schemas.microsoft.com/office/drawing/2014/main" id="{4E343232-9620-047D-0241-BF669A9726A1}"/>
            </a:ext>
          </a:extLst>
        </xdr:cNvPr>
        <xdr:cNvCxnSpPr/>
      </xdr:nvCxnSpPr>
      <xdr:spPr>
        <a:xfrm flipH="1">
          <a:off x="33320087" y="1243018"/>
          <a:ext cx="54468" cy="0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234392</xdr:colOff>
      <xdr:row>4</xdr:row>
      <xdr:rowOff>80642</xdr:rowOff>
    </xdr:from>
    <xdr:to>
      <xdr:col>121</xdr:col>
      <xdr:colOff>279533</xdr:colOff>
      <xdr:row>4</xdr:row>
      <xdr:rowOff>85387</xdr:rowOff>
    </xdr:to>
    <xdr:cxnSp macro="">
      <xdr:nvCxnSpPr>
        <xdr:cNvPr id="5168" name="MinuteMarker2_16">
          <a:extLst>
            <a:ext uri="{FF2B5EF4-FFF2-40B4-BE49-F238E27FC236}">
              <a16:creationId xmlns:a16="http://schemas.microsoft.com/office/drawing/2014/main" id="{27C5EBB9-1FD9-A778-4AED-E1E02CD9235A}"/>
            </a:ext>
          </a:extLst>
        </xdr:cNvPr>
        <xdr:cNvCxnSpPr/>
      </xdr:nvCxnSpPr>
      <xdr:spPr>
        <a:xfrm>
          <a:off x="33333767" y="1328417"/>
          <a:ext cx="45141" cy="474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221016</xdr:colOff>
      <xdr:row>4</xdr:row>
      <xdr:rowOff>165106</xdr:rowOff>
    </xdr:from>
    <xdr:to>
      <xdr:col>121</xdr:col>
      <xdr:colOff>265410</xdr:colOff>
      <xdr:row>4</xdr:row>
      <xdr:rowOff>174543</xdr:rowOff>
    </xdr:to>
    <xdr:cxnSp macro="">
      <xdr:nvCxnSpPr>
        <xdr:cNvPr id="5169" name="MinuteMarker2_17">
          <a:extLst>
            <a:ext uri="{FF2B5EF4-FFF2-40B4-BE49-F238E27FC236}">
              <a16:creationId xmlns:a16="http://schemas.microsoft.com/office/drawing/2014/main" id="{FE90711B-ECBE-520B-4054-87049FCA80B0}"/>
            </a:ext>
          </a:extLst>
        </xdr:cNvPr>
        <xdr:cNvCxnSpPr/>
      </xdr:nvCxnSpPr>
      <xdr:spPr>
        <a:xfrm>
          <a:off x="33320391" y="1412881"/>
          <a:ext cx="44394" cy="943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198881</xdr:colOff>
      <xdr:row>4</xdr:row>
      <xdr:rowOff>247708</xdr:rowOff>
    </xdr:from>
    <xdr:to>
      <xdr:col>121</xdr:col>
      <xdr:colOff>242047</xdr:colOff>
      <xdr:row>4</xdr:row>
      <xdr:rowOff>261734</xdr:rowOff>
    </xdr:to>
    <xdr:cxnSp macro="">
      <xdr:nvCxnSpPr>
        <xdr:cNvPr id="5170" name="MinuteMarker2_18">
          <a:extLst>
            <a:ext uri="{FF2B5EF4-FFF2-40B4-BE49-F238E27FC236}">
              <a16:creationId xmlns:a16="http://schemas.microsoft.com/office/drawing/2014/main" id="{88489CCA-C3F7-5E57-CD5F-E2729BFE64D6}"/>
            </a:ext>
          </a:extLst>
        </xdr:cNvPr>
        <xdr:cNvCxnSpPr/>
      </xdr:nvCxnSpPr>
      <xdr:spPr>
        <a:xfrm>
          <a:off x="33298256" y="1495483"/>
          <a:ext cx="43166" cy="14026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168235</xdr:colOff>
      <xdr:row>5</xdr:row>
      <xdr:rowOff>32270</xdr:rowOff>
    </xdr:from>
    <xdr:to>
      <xdr:col>121</xdr:col>
      <xdr:colOff>209699</xdr:colOff>
      <xdr:row>5</xdr:row>
      <xdr:rowOff>50731</xdr:rowOff>
    </xdr:to>
    <xdr:cxnSp macro="">
      <xdr:nvCxnSpPr>
        <xdr:cNvPr id="5171" name="MinuteMarker2_19">
          <a:extLst>
            <a:ext uri="{FF2B5EF4-FFF2-40B4-BE49-F238E27FC236}">
              <a16:creationId xmlns:a16="http://schemas.microsoft.com/office/drawing/2014/main" id="{F1FD83D3-097D-42E0-7375-4643796931BC}"/>
            </a:ext>
          </a:extLst>
        </xdr:cNvPr>
        <xdr:cNvCxnSpPr/>
      </xdr:nvCxnSpPr>
      <xdr:spPr>
        <a:xfrm>
          <a:off x="33267610" y="1575320"/>
          <a:ext cx="41464" cy="1846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113689</xdr:colOff>
      <xdr:row>5</xdr:row>
      <xdr:rowOff>99388</xdr:rowOff>
    </xdr:from>
    <xdr:to>
      <xdr:col>121</xdr:col>
      <xdr:colOff>160858</xdr:colOff>
      <xdr:row>5</xdr:row>
      <xdr:rowOff>126621</xdr:rowOff>
    </xdr:to>
    <xdr:cxnSp macro="">
      <xdr:nvCxnSpPr>
        <xdr:cNvPr id="5172" name="MinuteMarker2_20">
          <a:extLst>
            <a:ext uri="{FF2B5EF4-FFF2-40B4-BE49-F238E27FC236}">
              <a16:creationId xmlns:a16="http://schemas.microsoft.com/office/drawing/2014/main" id="{94B981B1-DD40-FA1B-FC49-0E35F490ECB7}"/>
            </a:ext>
          </a:extLst>
        </xdr:cNvPr>
        <xdr:cNvCxnSpPr/>
      </xdr:nvCxnSpPr>
      <xdr:spPr>
        <a:xfrm flipH="1" flipV="1">
          <a:off x="33213064" y="1642438"/>
          <a:ext cx="47169" cy="27233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82835</xdr:colOff>
      <xdr:row>5</xdr:row>
      <xdr:rowOff>180186</xdr:rowOff>
    </xdr:from>
    <xdr:to>
      <xdr:col>121</xdr:col>
      <xdr:colOff>119555</xdr:colOff>
      <xdr:row>5</xdr:row>
      <xdr:rowOff>206865</xdr:rowOff>
    </xdr:to>
    <xdr:cxnSp macro="">
      <xdr:nvCxnSpPr>
        <xdr:cNvPr id="5173" name="MinuteMarker2_21">
          <a:extLst>
            <a:ext uri="{FF2B5EF4-FFF2-40B4-BE49-F238E27FC236}">
              <a16:creationId xmlns:a16="http://schemas.microsoft.com/office/drawing/2014/main" id="{402E84E0-7B58-5E69-B85C-DB69B00868FB}"/>
            </a:ext>
          </a:extLst>
        </xdr:cNvPr>
        <xdr:cNvCxnSpPr/>
      </xdr:nvCxnSpPr>
      <xdr:spPr>
        <a:xfrm>
          <a:off x="33182210" y="1723236"/>
          <a:ext cx="36720" cy="26679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29018</xdr:colOff>
      <xdr:row>5</xdr:row>
      <xdr:rowOff>246645</xdr:rowOff>
    </xdr:from>
    <xdr:to>
      <xdr:col>121</xdr:col>
      <xdr:colOff>62750</xdr:colOff>
      <xdr:row>5</xdr:row>
      <xdr:rowOff>277015</xdr:rowOff>
    </xdr:to>
    <xdr:cxnSp macro="">
      <xdr:nvCxnSpPr>
        <xdr:cNvPr id="5174" name="MinuteMarker2_22">
          <a:extLst>
            <a:ext uri="{FF2B5EF4-FFF2-40B4-BE49-F238E27FC236}">
              <a16:creationId xmlns:a16="http://schemas.microsoft.com/office/drawing/2014/main" id="{B31802ED-3BBB-9914-D85F-7EDB00D99408}"/>
            </a:ext>
          </a:extLst>
        </xdr:cNvPr>
        <xdr:cNvCxnSpPr/>
      </xdr:nvCxnSpPr>
      <xdr:spPr>
        <a:xfrm>
          <a:off x="33128393" y="1789695"/>
          <a:ext cx="33732" cy="3037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120</xdr:col>
      <xdr:colOff>349548</xdr:colOff>
      <xdr:row>6</xdr:row>
      <xdr:rowOff>11839</xdr:rowOff>
    </xdr:from>
    <xdr:to>
      <xdr:col>120</xdr:col>
      <xdr:colOff>379921</xdr:colOff>
      <xdr:row>6</xdr:row>
      <xdr:rowOff>45569</xdr:rowOff>
    </xdr:to>
    <xdr:cxnSp macro="">
      <xdr:nvCxnSpPr>
        <xdr:cNvPr id="5175" name="MinuteMarker2_23">
          <a:extLst>
            <a:ext uri="{FF2B5EF4-FFF2-40B4-BE49-F238E27FC236}">
              <a16:creationId xmlns:a16="http://schemas.microsoft.com/office/drawing/2014/main" id="{1AC66AAA-6FE7-178D-85B9-C048ECE7925A}"/>
            </a:ext>
          </a:extLst>
        </xdr:cNvPr>
        <xdr:cNvCxnSpPr/>
      </xdr:nvCxnSpPr>
      <xdr:spPr>
        <a:xfrm>
          <a:off x="33067923" y="1850164"/>
          <a:ext cx="30373" cy="3373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120</xdr:col>
      <xdr:colOff>283090</xdr:colOff>
      <xdr:row>6</xdr:row>
      <xdr:rowOff>65656</xdr:rowOff>
    </xdr:from>
    <xdr:to>
      <xdr:col>120</xdr:col>
      <xdr:colOff>309770</xdr:colOff>
      <xdr:row>6</xdr:row>
      <xdr:rowOff>102376</xdr:rowOff>
    </xdr:to>
    <xdr:cxnSp macro="">
      <xdr:nvCxnSpPr>
        <xdr:cNvPr id="5176" name="MinuteMarker2_24">
          <a:extLst>
            <a:ext uri="{FF2B5EF4-FFF2-40B4-BE49-F238E27FC236}">
              <a16:creationId xmlns:a16="http://schemas.microsoft.com/office/drawing/2014/main" id="{76A7BEA8-10AC-EE36-3FF7-CDAFD30C6785}"/>
            </a:ext>
          </a:extLst>
        </xdr:cNvPr>
        <xdr:cNvCxnSpPr/>
      </xdr:nvCxnSpPr>
      <xdr:spPr>
        <a:xfrm>
          <a:off x="33001465" y="1903981"/>
          <a:ext cx="26680" cy="3672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120</xdr:col>
      <xdr:colOff>202292</xdr:colOff>
      <xdr:row>6</xdr:row>
      <xdr:rowOff>96509</xdr:rowOff>
    </xdr:from>
    <xdr:to>
      <xdr:col>120</xdr:col>
      <xdr:colOff>229527</xdr:colOff>
      <xdr:row>6</xdr:row>
      <xdr:rowOff>143678</xdr:rowOff>
    </xdr:to>
    <xdr:cxnSp macro="">
      <xdr:nvCxnSpPr>
        <xdr:cNvPr id="5177" name="MinuteMarker2_25">
          <a:extLst>
            <a:ext uri="{FF2B5EF4-FFF2-40B4-BE49-F238E27FC236}">
              <a16:creationId xmlns:a16="http://schemas.microsoft.com/office/drawing/2014/main" id="{FF6E2889-3F2B-8D01-9E98-6D545A9DA1E8}"/>
            </a:ext>
          </a:extLst>
        </xdr:cNvPr>
        <xdr:cNvCxnSpPr/>
      </xdr:nvCxnSpPr>
      <xdr:spPr>
        <a:xfrm flipH="1" flipV="1">
          <a:off x="32920667" y="1934834"/>
          <a:ext cx="27235" cy="47169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120</xdr:col>
      <xdr:colOff>135173</xdr:colOff>
      <xdr:row>6</xdr:row>
      <xdr:rowOff>151055</xdr:rowOff>
    </xdr:from>
    <xdr:to>
      <xdr:col>120</xdr:col>
      <xdr:colOff>153637</xdr:colOff>
      <xdr:row>6</xdr:row>
      <xdr:rowOff>192520</xdr:rowOff>
    </xdr:to>
    <xdr:cxnSp macro="">
      <xdr:nvCxnSpPr>
        <xdr:cNvPr id="5178" name="MinuteMarker2_26">
          <a:extLst>
            <a:ext uri="{FF2B5EF4-FFF2-40B4-BE49-F238E27FC236}">
              <a16:creationId xmlns:a16="http://schemas.microsoft.com/office/drawing/2014/main" id="{E33F0724-7DE5-A17B-4AE6-1015A0EE91A1}"/>
            </a:ext>
          </a:extLst>
        </xdr:cNvPr>
        <xdr:cNvCxnSpPr/>
      </xdr:nvCxnSpPr>
      <xdr:spPr>
        <a:xfrm>
          <a:off x="32853548" y="1989380"/>
          <a:ext cx="18464" cy="4146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120</xdr:col>
      <xdr:colOff>55339</xdr:colOff>
      <xdr:row>6</xdr:row>
      <xdr:rowOff>181702</xdr:rowOff>
    </xdr:from>
    <xdr:to>
      <xdr:col>120</xdr:col>
      <xdr:colOff>69363</xdr:colOff>
      <xdr:row>6</xdr:row>
      <xdr:rowOff>224869</xdr:rowOff>
    </xdr:to>
    <xdr:cxnSp macro="">
      <xdr:nvCxnSpPr>
        <xdr:cNvPr id="5179" name="MinuteMarker2_27">
          <a:extLst>
            <a:ext uri="{FF2B5EF4-FFF2-40B4-BE49-F238E27FC236}">
              <a16:creationId xmlns:a16="http://schemas.microsoft.com/office/drawing/2014/main" id="{00902329-B1E7-28BF-6E27-70332D4329FD}"/>
            </a:ext>
          </a:extLst>
        </xdr:cNvPr>
        <xdr:cNvCxnSpPr/>
      </xdr:nvCxnSpPr>
      <xdr:spPr>
        <a:xfrm>
          <a:off x="32773714" y="2020027"/>
          <a:ext cx="14024" cy="4316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353737</xdr:colOff>
      <xdr:row>6</xdr:row>
      <xdr:rowOff>203835</xdr:rowOff>
    </xdr:from>
    <xdr:to>
      <xdr:col>119</xdr:col>
      <xdr:colOff>363172</xdr:colOff>
      <xdr:row>6</xdr:row>
      <xdr:rowOff>248232</xdr:rowOff>
    </xdr:to>
    <xdr:cxnSp macro="">
      <xdr:nvCxnSpPr>
        <xdr:cNvPr id="5180" name="MinuteMarker2_28">
          <a:extLst>
            <a:ext uri="{FF2B5EF4-FFF2-40B4-BE49-F238E27FC236}">
              <a16:creationId xmlns:a16="http://schemas.microsoft.com/office/drawing/2014/main" id="{A59F7CEB-FA7E-3F51-4E26-072F7D2C44E2}"/>
            </a:ext>
          </a:extLst>
        </xdr:cNvPr>
        <xdr:cNvCxnSpPr/>
      </xdr:nvCxnSpPr>
      <xdr:spPr>
        <a:xfrm>
          <a:off x="32691112" y="2042160"/>
          <a:ext cx="9435" cy="4439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269270</xdr:colOff>
      <xdr:row>6</xdr:row>
      <xdr:rowOff>217213</xdr:rowOff>
    </xdr:from>
    <xdr:to>
      <xdr:col>119</xdr:col>
      <xdr:colOff>274017</xdr:colOff>
      <xdr:row>6</xdr:row>
      <xdr:rowOff>262353</xdr:rowOff>
    </xdr:to>
    <xdr:cxnSp macro="">
      <xdr:nvCxnSpPr>
        <xdr:cNvPr id="5181" name="MinuteMarker2_29">
          <a:extLst>
            <a:ext uri="{FF2B5EF4-FFF2-40B4-BE49-F238E27FC236}">
              <a16:creationId xmlns:a16="http://schemas.microsoft.com/office/drawing/2014/main" id="{E61D1301-9B4A-3EC3-0315-3722688E9BAC}"/>
            </a:ext>
          </a:extLst>
        </xdr:cNvPr>
        <xdr:cNvCxnSpPr/>
      </xdr:nvCxnSpPr>
      <xdr:spPr>
        <a:xfrm>
          <a:off x="32606645" y="2055538"/>
          <a:ext cx="4747" cy="4514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183871</xdr:colOff>
      <xdr:row>6</xdr:row>
      <xdr:rowOff>203533</xdr:rowOff>
    </xdr:from>
    <xdr:to>
      <xdr:col>119</xdr:col>
      <xdr:colOff>183871</xdr:colOff>
      <xdr:row>6</xdr:row>
      <xdr:rowOff>257999</xdr:rowOff>
    </xdr:to>
    <xdr:cxnSp macro="">
      <xdr:nvCxnSpPr>
        <xdr:cNvPr id="5182" name="MinuteMarker2_30">
          <a:extLst>
            <a:ext uri="{FF2B5EF4-FFF2-40B4-BE49-F238E27FC236}">
              <a16:creationId xmlns:a16="http://schemas.microsoft.com/office/drawing/2014/main" id="{A79EAF9A-9F0E-96F7-2EF7-0F2A1BEAA57C}"/>
            </a:ext>
          </a:extLst>
        </xdr:cNvPr>
        <xdr:cNvCxnSpPr/>
      </xdr:nvCxnSpPr>
      <xdr:spPr>
        <a:xfrm flipV="1">
          <a:off x="32521246" y="2041858"/>
          <a:ext cx="0" cy="54466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93728</xdr:colOff>
      <xdr:row>6</xdr:row>
      <xdr:rowOff>217213</xdr:rowOff>
    </xdr:from>
    <xdr:to>
      <xdr:col>119</xdr:col>
      <xdr:colOff>98475</xdr:colOff>
      <xdr:row>6</xdr:row>
      <xdr:rowOff>262353</xdr:rowOff>
    </xdr:to>
    <xdr:cxnSp macro="">
      <xdr:nvCxnSpPr>
        <xdr:cNvPr id="5183" name="MinuteMarker2_31">
          <a:extLst>
            <a:ext uri="{FF2B5EF4-FFF2-40B4-BE49-F238E27FC236}">
              <a16:creationId xmlns:a16="http://schemas.microsoft.com/office/drawing/2014/main" id="{E31FCB7D-DDAB-14A8-6503-5CAA597AF647}"/>
            </a:ext>
          </a:extLst>
        </xdr:cNvPr>
        <xdr:cNvCxnSpPr/>
      </xdr:nvCxnSpPr>
      <xdr:spPr>
        <a:xfrm flipH="1">
          <a:off x="32431103" y="2055538"/>
          <a:ext cx="4747" cy="4514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4573</xdr:colOff>
      <xdr:row>6</xdr:row>
      <xdr:rowOff>203835</xdr:rowOff>
    </xdr:from>
    <xdr:to>
      <xdr:col>119</xdr:col>
      <xdr:colOff>14008</xdr:colOff>
      <xdr:row>6</xdr:row>
      <xdr:rowOff>248232</xdr:rowOff>
    </xdr:to>
    <xdr:cxnSp macro="">
      <xdr:nvCxnSpPr>
        <xdr:cNvPr id="5184" name="MinuteMarker2_32">
          <a:extLst>
            <a:ext uri="{FF2B5EF4-FFF2-40B4-BE49-F238E27FC236}">
              <a16:creationId xmlns:a16="http://schemas.microsoft.com/office/drawing/2014/main" id="{76D7DE5E-FC39-9A51-E294-4D38031CBEA5}"/>
            </a:ext>
          </a:extLst>
        </xdr:cNvPr>
        <xdr:cNvCxnSpPr/>
      </xdr:nvCxnSpPr>
      <xdr:spPr>
        <a:xfrm flipH="1">
          <a:off x="32341948" y="2042160"/>
          <a:ext cx="9435" cy="4439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118</xdr:col>
      <xdr:colOff>298382</xdr:colOff>
      <xdr:row>6</xdr:row>
      <xdr:rowOff>181702</xdr:rowOff>
    </xdr:from>
    <xdr:to>
      <xdr:col>118</xdr:col>
      <xdr:colOff>312406</xdr:colOff>
      <xdr:row>6</xdr:row>
      <xdr:rowOff>224869</xdr:rowOff>
    </xdr:to>
    <xdr:cxnSp macro="">
      <xdr:nvCxnSpPr>
        <xdr:cNvPr id="5185" name="MinuteMarker2_33">
          <a:extLst>
            <a:ext uri="{FF2B5EF4-FFF2-40B4-BE49-F238E27FC236}">
              <a16:creationId xmlns:a16="http://schemas.microsoft.com/office/drawing/2014/main" id="{B8BD0C24-9AC7-E393-243D-A6A36CFF6CF5}"/>
            </a:ext>
          </a:extLst>
        </xdr:cNvPr>
        <xdr:cNvCxnSpPr/>
      </xdr:nvCxnSpPr>
      <xdr:spPr>
        <a:xfrm flipH="1">
          <a:off x="32254757" y="2020027"/>
          <a:ext cx="14024" cy="4316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118</xdr:col>
      <xdr:colOff>214108</xdr:colOff>
      <xdr:row>6</xdr:row>
      <xdr:rowOff>151055</xdr:rowOff>
    </xdr:from>
    <xdr:to>
      <xdr:col>118</xdr:col>
      <xdr:colOff>232572</xdr:colOff>
      <xdr:row>6</xdr:row>
      <xdr:rowOff>192520</xdr:rowOff>
    </xdr:to>
    <xdr:cxnSp macro="">
      <xdr:nvCxnSpPr>
        <xdr:cNvPr id="5186" name="MinuteMarker2_34">
          <a:extLst>
            <a:ext uri="{FF2B5EF4-FFF2-40B4-BE49-F238E27FC236}">
              <a16:creationId xmlns:a16="http://schemas.microsoft.com/office/drawing/2014/main" id="{E980F5F0-875A-474B-8466-63416C36EED7}"/>
            </a:ext>
          </a:extLst>
        </xdr:cNvPr>
        <xdr:cNvCxnSpPr/>
      </xdr:nvCxnSpPr>
      <xdr:spPr>
        <a:xfrm flipH="1">
          <a:off x="32170483" y="1989380"/>
          <a:ext cx="18464" cy="4146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118</xdr:col>
      <xdr:colOff>138218</xdr:colOff>
      <xdr:row>6</xdr:row>
      <xdr:rowOff>96509</xdr:rowOff>
    </xdr:from>
    <xdr:to>
      <xdr:col>118</xdr:col>
      <xdr:colOff>165453</xdr:colOff>
      <xdr:row>6</xdr:row>
      <xdr:rowOff>143678</xdr:rowOff>
    </xdr:to>
    <xdr:cxnSp macro="">
      <xdr:nvCxnSpPr>
        <xdr:cNvPr id="5187" name="MinuteMarker2_35">
          <a:extLst>
            <a:ext uri="{FF2B5EF4-FFF2-40B4-BE49-F238E27FC236}">
              <a16:creationId xmlns:a16="http://schemas.microsoft.com/office/drawing/2014/main" id="{4F73D83D-9B33-5443-30B0-6473F9BCEE47}"/>
            </a:ext>
          </a:extLst>
        </xdr:cNvPr>
        <xdr:cNvCxnSpPr/>
      </xdr:nvCxnSpPr>
      <xdr:spPr>
        <a:xfrm flipV="1">
          <a:off x="32094593" y="1934834"/>
          <a:ext cx="27235" cy="47169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118</xdr:col>
      <xdr:colOff>57975</xdr:colOff>
      <xdr:row>6</xdr:row>
      <xdr:rowOff>65656</xdr:rowOff>
    </xdr:from>
    <xdr:to>
      <xdr:col>118</xdr:col>
      <xdr:colOff>84655</xdr:colOff>
      <xdr:row>6</xdr:row>
      <xdr:rowOff>102376</xdr:rowOff>
    </xdr:to>
    <xdr:cxnSp macro="">
      <xdr:nvCxnSpPr>
        <xdr:cNvPr id="5188" name="MinuteMarker2_36">
          <a:extLst>
            <a:ext uri="{FF2B5EF4-FFF2-40B4-BE49-F238E27FC236}">
              <a16:creationId xmlns:a16="http://schemas.microsoft.com/office/drawing/2014/main" id="{6C225DA4-32DC-6E44-20AE-BD8028C21C05}"/>
            </a:ext>
          </a:extLst>
        </xdr:cNvPr>
        <xdr:cNvCxnSpPr/>
      </xdr:nvCxnSpPr>
      <xdr:spPr>
        <a:xfrm flipH="1">
          <a:off x="32014350" y="1903981"/>
          <a:ext cx="26680" cy="3672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368824</xdr:colOff>
      <xdr:row>6</xdr:row>
      <xdr:rowOff>11839</xdr:rowOff>
    </xdr:from>
    <xdr:to>
      <xdr:col>118</xdr:col>
      <xdr:colOff>18197</xdr:colOff>
      <xdr:row>6</xdr:row>
      <xdr:rowOff>45569</xdr:rowOff>
    </xdr:to>
    <xdr:cxnSp macro="">
      <xdr:nvCxnSpPr>
        <xdr:cNvPr id="5189" name="MinuteMarker2_37">
          <a:extLst>
            <a:ext uri="{FF2B5EF4-FFF2-40B4-BE49-F238E27FC236}">
              <a16:creationId xmlns:a16="http://schemas.microsoft.com/office/drawing/2014/main" id="{31BD2D68-EAED-3A79-28BE-5EC95D32B342}"/>
            </a:ext>
          </a:extLst>
        </xdr:cNvPr>
        <xdr:cNvCxnSpPr/>
      </xdr:nvCxnSpPr>
      <xdr:spPr>
        <a:xfrm flipH="1">
          <a:off x="31944199" y="1850164"/>
          <a:ext cx="30373" cy="3373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304995</xdr:colOff>
      <xdr:row>5</xdr:row>
      <xdr:rowOff>246645</xdr:rowOff>
    </xdr:from>
    <xdr:to>
      <xdr:col>117</xdr:col>
      <xdr:colOff>338727</xdr:colOff>
      <xdr:row>5</xdr:row>
      <xdr:rowOff>277015</xdr:rowOff>
    </xdr:to>
    <xdr:cxnSp macro="">
      <xdr:nvCxnSpPr>
        <xdr:cNvPr id="5190" name="MinuteMarker2_38">
          <a:extLst>
            <a:ext uri="{FF2B5EF4-FFF2-40B4-BE49-F238E27FC236}">
              <a16:creationId xmlns:a16="http://schemas.microsoft.com/office/drawing/2014/main" id="{D72FD700-066F-D67B-8A04-F7343A8F415A}"/>
            </a:ext>
          </a:extLst>
        </xdr:cNvPr>
        <xdr:cNvCxnSpPr/>
      </xdr:nvCxnSpPr>
      <xdr:spPr>
        <a:xfrm flipH="1">
          <a:off x="31880370" y="1789695"/>
          <a:ext cx="33732" cy="3037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248190</xdr:colOff>
      <xdr:row>5</xdr:row>
      <xdr:rowOff>180186</xdr:rowOff>
    </xdr:from>
    <xdr:to>
      <xdr:col>117</xdr:col>
      <xdr:colOff>284910</xdr:colOff>
      <xdr:row>5</xdr:row>
      <xdr:rowOff>206865</xdr:rowOff>
    </xdr:to>
    <xdr:cxnSp macro="">
      <xdr:nvCxnSpPr>
        <xdr:cNvPr id="5191" name="MinuteMarker2_39">
          <a:extLst>
            <a:ext uri="{FF2B5EF4-FFF2-40B4-BE49-F238E27FC236}">
              <a16:creationId xmlns:a16="http://schemas.microsoft.com/office/drawing/2014/main" id="{ABCD097D-6664-6BB5-A66D-9CF0884F0E6D}"/>
            </a:ext>
          </a:extLst>
        </xdr:cNvPr>
        <xdr:cNvCxnSpPr/>
      </xdr:nvCxnSpPr>
      <xdr:spPr>
        <a:xfrm flipH="1">
          <a:off x="31823565" y="1723236"/>
          <a:ext cx="36720" cy="26679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206887</xdr:colOff>
      <xdr:row>5</xdr:row>
      <xdr:rowOff>99388</xdr:rowOff>
    </xdr:from>
    <xdr:to>
      <xdr:col>117</xdr:col>
      <xdr:colOff>254056</xdr:colOff>
      <xdr:row>5</xdr:row>
      <xdr:rowOff>126621</xdr:rowOff>
    </xdr:to>
    <xdr:cxnSp macro="">
      <xdr:nvCxnSpPr>
        <xdr:cNvPr id="5192" name="MinuteMarker2_40">
          <a:extLst>
            <a:ext uri="{FF2B5EF4-FFF2-40B4-BE49-F238E27FC236}">
              <a16:creationId xmlns:a16="http://schemas.microsoft.com/office/drawing/2014/main" id="{BF9E5235-00FB-EB33-EB49-66488D1E0ACE}"/>
            </a:ext>
          </a:extLst>
        </xdr:cNvPr>
        <xdr:cNvCxnSpPr/>
      </xdr:nvCxnSpPr>
      <xdr:spPr>
        <a:xfrm flipV="1">
          <a:off x="31782262" y="1642438"/>
          <a:ext cx="47169" cy="27233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158046</xdr:colOff>
      <xdr:row>5</xdr:row>
      <xdr:rowOff>32270</xdr:rowOff>
    </xdr:from>
    <xdr:to>
      <xdr:col>117</xdr:col>
      <xdr:colOff>199510</xdr:colOff>
      <xdr:row>5</xdr:row>
      <xdr:rowOff>50731</xdr:rowOff>
    </xdr:to>
    <xdr:cxnSp macro="">
      <xdr:nvCxnSpPr>
        <xdr:cNvPr id="5193" name="MinuteMarker2_41">
          <a:extLst>
            <a:ext uri="{FF2B5EF4-FFF2-40B4-BE49-F238E27FC236}">
              <a16:creationId xmlns:a16="http://schemas.microsoft.com/office/drawing/2014/main" id="{23A91FA6-715E-11B5-BF40-281AAD660E2D}"/>
            </a:ext>
          </a:extLst>
        </xdr:cNvPr>
        <xdr:cNvCxnSpPr/>
      </xdr:nvCxnSpPr>
      <xdr:spPr>
        <a:xfrm flipH="1">
          <a:off x="31733421" y="1575320"/>
          <a:ext cx="41464" cy="1846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125698</xdr:colOff>
      <xdr:row>4</xdr:row>
      <xdr:rowOff>247708</xdr:rowOff>
    </xdr:from>
    <xdr:to>
      <xdr:col>117</xdr:col>
      <xdr:colOff>168864</xdr:colOff>
      <xdr:row>4</xdr:row>
      <xdr:rowOff>261734</xdr:rowOff>
    </xdr:to>
    <xdr:cxnSp macro="">
      <xdr:nvCxnSpPr>
        <xdr:cNvPr id="5194" name="MinuteMarker2_42">
          <a:extLst>
            <a:ext uri="{FF2B5EF4-FFF2-40B4-BE49-F238E27FC236}">
              <a16:creationId xmlns:a16="http://schemas.microsoft.com/office/drawing/2014/main" id="{BAE60A56-DF55-FC16-0BA3-85E1511C5337}"/>
            </a:ext>
          </a:extLst>
        </xdr:cNvPr>
        <xdr:cNvCxnSpPr/>
      </xdr:nvCxnSpPr>
      <xdr:spPr>
        <a:xfrm flipH="1">
          <a:off x="31701073" y="1495483"/>
          <a:ext cx="43166" cy="14026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102335</xdr:colOff>
      <xdr:row>4</xdr:row>
      <xdr:rowOff>165106</xdr:rowOff>
    </xdr:from>
    <xdr:to>
      <xdr:col>117</xdr:col>
      <xdr:colOff>146729</xdr:colOff>
      <xdr:row>4</xdr:row>
      <xdr:rowOff>174543</xdr:rowOff>
    </xdr:to>
    <xdr:cxnSp macro="">
      <xdr:nvCxnSpPr>
        <xdr:cNvPr id="5195" name="MinuteMarker2_43">
          <a:extLst>
            <a:ext uri="{FF2B5EF4-FFF2-40B4-BE49-F238E27FC236}">
              <a16:creationId xmlns:a16="http://schemas.microsoft.com/office/drawing/2014/main" id="{055997A5-E135-5C14-67D1-0A0BDE41398E}"/>
            </a:ext>
          </a:extLst>
        </xdr:cNvPr>
        <xdr:cNvCxnSpPr/>
      </xdr:nvCxnSpPr>
      <xdr:spPr>
        <a:xfrm flipH="1">
          <a:off x="31677710" y="1412881"/>
          <a:ext cx="44394" cy="943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88212</xdr:colOff>
      <xdr:row>4</xdr:row>
      <xdr:rowOff>80642</xdr:rowOff>
    </xdr:from>
    <xdr:to>
      <xdr:col>117</xdr:col>
      <xdr:colOff>133353</xdr:colOff>
      <xdr:row>4</xdr:row>
      <xdr:rowOff>85387</xdr:rowOff>
    </xdr:to>
    <xdr:cxnSp macro="">
      <xdr:nvCxnSpPr>
        <xdr:cNvPr id="5196" name="MinuteMarker2_44">
          <a:extLst>
            <a:ext uri="{FF2B5EF4-FFF2-40B4-BE49-F238E27FC236}">
              <a16:creationId xmlns:a16="http://schemas.microsoft.com/office/drawing/2014/main" id="{3449B9D6-0FB7-55E9-D873-DB8B649F914D}"/>
            </a:ext>
          </a:extLst>
        </xdr:cNvPr>
        <xdr:cNvCxnSpPr/>
      </xdr:nvCxnSpPr>
      <xdr:spPr>
        <a:xfrm flipH="1">
          <a:off x="31663587" y="1328417"/>
          <a:ext cx="45141" cy="474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92565</xdr:colOff>
      <xdr:row>3</xdr:row>
      <xdr:rowOff>404818</xdr:rowOff>
    </xdr:from>
    <xdr:to>
      <xdr:col>117</xdr:col>
      <xdr:colOff>147033</xdr:colOff>
      <xdr:row>3</xdr:row>
      <xdr:rowOff>404818</xdr:rowOff>
    </xdr:to>
    <xdr:cxnSp macro="">
      <xdr:nvCxnSpPr>
        <xdr:cNvPr id="5197" name="MinuteMarker2_45">
          <a:extLst>
            <a:ext uri="{FF2B5EF4-FFF2-40B4-BE49-F238E27FC236}">
              <a16:creationId xmlns:a16="http://schemas.microsoft.com/office/drawing/2014/main" id="{E68B454C-5BDA-765F-7ACB-46E02D14C095}"/>
            </a:ext>
          </a:extLst>
        </xdr:cNvPr>
        <xdr:cNvCxnSpPr/>
      </xdr:nvCxnSpPr>
      <xdr:spPr>
        <a:xfrm>
          <a:off x="31667940" y="1243018"/>
          <a:ext cx="54468" cy="0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88212</xdr:colOff>
      <xdr:row>3</xdr:row>
      <xdr:rowOff>314674</xdr:rowOff>
    </xdr:from>
    <xdr:to>
      <xdr:col>117</xdr:col>
      <xdr:colOff>133353</xdr:colOff>
      <xdr:row>3</xdr:row>
      <xdr:rowOff>319419</xdr:rowOff>
    </xdr:to>
    <xdr:cxnSp macro="">
      <xdr:nvCxnSpPr>
        <xdr:cNvPr id="5198" name="MinuteMarker2_46">
          <a:extLst>
            <a:ext uri="{FF2B5EF4-FFF2-40B4-BE49-F238E27FC236}">
              <a16:creationId xmlns:a16="http://schemas.microsoft.com/office/drawing/2014/main" id="{FEED490D-E2E6-7C2F-74F5-2DACE00DCE64}"/>
            </a:ext>
          </a:extLst>
        </xdr:cNvPr>
        <xdr:cNvCxnSpPr/>
      </xdr:nvCxnSpPr>
      <xdr:spPr>
        <a:xfrm flipH="1" flipV="1">
          <a:off x="31663587" y="1152874"/>
          <a:ext cx="45141" cy="474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102335</xdr:colOff>
      <xdr:row>3</xdr:row>
      <xdr:rowOff>225518</xdr:rowOff>
    </xdr:from>
    <xdr:to>
      <xdr:col>117</xdr:col>
      <xdr:colOff>146729</xdr:colOff>
      <xdr:row>3</xdr:row>
      <xdr:rowOff>234955</xdr:rowOff>
    </xdr:to>
    <xdr:cxnSp macro="">
      <xdr:nvCxnSpPr>
        <xdr:cNvPr id="5199" name="MinuteMarker2_47">
          <a:extLst>
            <a:ext uri="{FF2B5EF4-FFF2-40B4-BE49-F238E27FC236}">
              <a16:creationId xmlns:a16="http://schemas.microsoft.com/office/drawing/2014/main" id="{A90352CD-6996-8013-04C1-2B808C8FBDF3}"/>
            </a:ext>
          </a:extLst>
        </xdr:cNvPr>
        <xdr:cNvCxnSpPr/>
      </xdr:nvCxnSpPr>
      <xdr:spPr>
        <a:xfrm flipH="1" flipV="1">
          <a:off x="31677710" y="1063718"/>
          <a:ext cx="44394" cy="943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125698</xdr:colOff>
      <xdr:row>3</xdr:row>
      <xdr:rowOff>138327</xdr:rowOff>
    </xdr:from>
    <xdr:to>
      <xdr:col>117</xdr:col>
      <xdr:colOff>168864</xdr:colOff>
      <xdr:row>3</xdr:row>
      <xdr:rowOff>152353</xdr:rowOff>
    </xdr:to>
    <xdr:cxnSp macro="">
      <xdr:nvCxnSpPr>
        <xdr:cNvPr id="5200" name="MinuteMarker2_48">
          <a:extLst>
            <a:ext uri="{FF2B5EF4-FFF2-40B4-BE49-F238E27FC236}">
              <a16:creationId xmlns:a16="http://schemas.microsoft.com/office/drawing/2014/main" id="{22FEEDD1-036A-B885-F803-3B4978C47860}"/>
            </a:ext>
          </a:extLst>
        </xdr:cNvPr>
        <xdr:cNvCxnSpPr/>
      </xdr:nvCxnSpPr>
      <xdr:spPr>
        <a:xfrm flipH="1" flipV="1">
          <a:off x="31701073" y="976527"/>
          <a:ext cx="43166" cy="14026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158046</xdr:colOff>
      <xdr:row>3</xdr:row>
      <xdr:rowOff>54055</xdr:rowOff>
    </xdr:from>
    <xdr:to>
      <xdr:col>117</xdr:col>
      <xdr:colOff>199510</xdr:colOff>
      <xdr:row>3</xdr:row>
      <xdr:rowOff>72516</xdr:rowOff>
    </xdr:to>
    <xdr:cxnSp macro="">
      <xdr:nvCxnSpPr>
        <xdr:cNvPr id="5201" name="MinuteMarker2_49">
          <a:extLst>
            <a:ext uri="{FF2B5EF4-FFF2-40B4-BE49-F238E27FC236}">
              <a16:creationId xmlns:a16="http://schemas.microsoft.com/office/drawing/2014/main" id="{8D4971D1-DF09-BD9F-0FC6-6716FE7CA8CC}"/>
            </a:ext>
          </a:extLst>
        </xdr:cNvPr>
        <xdr:cNvCxnSpPr/>
      </xdr:nvCxnSpPr>
      <xdr:spPr>
        <a:xfrm flipH="1" flipV="1">
          <a:off x="31733421" y="892255"/>
          <a:ext cx="41464" cy="1846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206887</xdr:colOff>
      <xdr:row>2</xdr:row>
      <xdr:rowOff>273440</xdr:rowOff>
    </xdr:from>
    <xdr:to>
      <xdr:col>117</xdr:col>
      <xdr:colOff>254056</xdr:colOff>
      <xdr:row>3</xdr:row>
      <xdr:rowOff>5398</xdr:rowOff>
    </xdr:to>
    <xdr:cxnSp macro="">
      <xdr:nvCxnSpPr>
        <xdr:cNvPr id="5202" name="MinuteMarker2_50">
          <a:extLst>
            <a:ext uri="{FF2B5EF4-FFF2-40B4-BE49-F238E27FC236}">
              <a16:creationId xmlns:a16="http://schemas.microsoft.com/office/drawing/2014/main" id="{5AA857AD-30F4-588C-6674-A9C550D523FC}"/>
            </a:ext>
          </a:extLst>
        </xdr:cNvPr>
        <xdr:cNvCxnSpPr/>
      </xdr:nvCxnSpPr>
      <xdr:spPr>
        <a:xfrm>
          <a:off x="31782262" y="816365"/>
          <a:ext cx="47169" cy="27233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248190</xdr:colOff>
      <xdr:row>2</xdr:row>
      <xdr:rowOff>193196</xdr:rowOff>
    </xdr:from>
    <xdr:to>
      <xdr:col>117</xdr:col>
      <xdr:colOff>284910</xdr:colOff>
      <xdr:row>2</xdr:row>
      <xdr:rowOff>219875</xdr:rowOff>
    </xdr:to>
    <xdr:cxnSp macro="">
      <xdr:nvCxnSpPr>
        <xdr:cNvPr id="5203" name="MinuteMarker2_51">
          <a:extLst>
            <a:ext uri="{FF2B5EF4-FFF2-40B4-BE49-F238E27FC236}">
              <a16:creationId xmlns:a16="http://schemas.microsoft.com/office/drawing/2014/main" id="{3BD8C20B-50F9-424F-A629-75CC11385BEC}"/>
            </a:ext>
          </a:extLst>
        </xdr:cNvPr>
        <xdr:cNvCxnSpPr/>
      </xdr:nvCxnSpPr>
      <xdr:spPr>
        <a:xfrm flipH="1" flipV="1">
          <a:off x="31823565" y="736121"/>
          <a:ext cx="36720" cy="26679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304995</xdr:colOff>
      <xdr:row>2</xdr:row>
      <xdr:rowOff>123046</xdr:rowOff>
    </xdr:from>
    <xdr:to>
      <xdr:col>117</xdr:col>
      <xdr:colOff>338727</xdr:colOff>
      <xdr:row>2</xdr:row>
      <xdr:rowOff>153417</xdr:rowOff>
    </xdr:to>
    <xdr:cxnSp macro="">
      <xdr:nvCxnSpPr>
        <xdr:cNvPr id="5204" name="MinuteMarker2_52">
          <a:extLst>
            <a:ext uri="{FF2B5EF4-FFF2-40B4-BE49-F238E27FC236}">
              <a16:creationId xmlns:a16="http://schemas.microsoft.com/office/drawing/2014/main" id="{E90C7CCD-D1EA-B6ED-8814-58A16ACAB173}"/>
            </a:ext>
          </a:extLst>
        </xdr:cNvPr>
        <xdr:cNvCxnSpPr/>
      </xdr:nvCxnSpPr>
      <xdr:spPr>
        <a:xfrm flipH="1" flipV="1">
          <a:off x="31880370" y="665971"/>
          <a:ext cx="33732" cy="3037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368824</xdr:colOff>
      <xdr:row>2</xdr:row>
      <xdr:rowOff>59217</xdr:rowOff>
    </xdr:from>
    <xdr:to>
      <xdr:col>118</xdr:col>
      <xdr:colOff>18197</xdr:colOff>
      <xdr:row>2</xdr:row>
      <xdr:rowOff>92947</xdr:rowOff>
    </xdr:to>
    <xdr:cxnSp macro="">
      <xdr:nvCxnSpPr>
        <xdr:cNvPr id="5205" name="MinuteMarker2_53">
          <a:extLst>
            <a:ext uri="{FF2B5EF4-FFF2-40B4-BE49-F238E27FC236}">
              <a16:creationId xmlns:a16="http://schemas.microsoft.com/office/drawing/2014/main" id="{A72878E3-B08B-4792-C333-03C3F26655E0}"/>
            </a:ext>
          </a:extLst>
        </xdr:cNvPr>
        <xdr:cNvCxnSpPr/>
      </xdr:nvCxnSpPr>
      <xdr:spPr>
        <a:xfrm flipH="1" flipV="1">
          <a:off x="31944199" y="602142"/>
          <a:ext cx="30373" cy="3373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118</xdr:col>
      <xdr:colOff>57975</xdr:colOff>
      <xdr:row>2</xdr:row>
      <xdr:rowOff>2410</xdr:rowOff>
    </xdr:from>
    <xdr:to>
      <xdr:col>118</xdr:col>
      <xdr:colOff>84655</xdr:colOff>
      <xdr:row>2</xdr:row>
      <xdr:rowOff>39130</xdr:rowOff>
    </xdr:to>
    <xdr:cxnSp macro="">
      <xdr:nvCxnSpPr>
        <xdr:cNvPr id="5206" name="MinuteMarker2_54">
          <a:extLst>
            <a:ext uri="{FF2B5EF4-FFF2-40B4-BE49-F238E27FC236}">
              <a16:creationId xmlns:a16="http://schemas.microsoft.com/office/drawing/2014/main" id="{9A0A83A4-50C3-2941-6BD4-073D5F539F43}"/>
            </a:ext>
          </a:extLst>
        </xdr:cNvPr>
        <xdr:cNvCxnSpPr/>
      </xdr:nvCxnSpPr>
      <xdr:spPr>
        <a:xfrm flipH="1" flipV="1">
          <a:off x="32014350" y="545335"/>
          <a:ext cx="26680" cy="3672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118</xdr:col>
      <xdr:colOff>138218</xdr:colOff>
      <xdr:row>1</xdr:row>
      <xdr:rowOff>256383</xdr:rowOff>
    </xdr:from>
    <xdr:to>
      <xdr:col>118</xdr:col>
      <xdr:colOff>165453</xdr:colOff>
      <xdr:row>2</xdr:row>
      <xdr:rowOff>8277</xdr:rowOff>
    </xdr:to>
    <xdr:cxnSp macro="">
      <xdr:nvCxnSpPr>
        <xdr:cNvPr id="5207" name="MinuteMarker2_55">
          <a:extLst>
            <a:ext uri="{FF2B5EF4-FFF2-40B4-BE49-F238E27FC236}">
              <a16:creationId xmlns:a16="http://schemas.microsoft.com/office/drawing/2014/main" id="{CF2334EF-9803-1952-B847-ADD76F566124}"/>
            </a:ext>
          </a:extLst>
        </xdr:cNvPr>
        <xdr:cNvCxnSpPr/>
      </xdr:nvCxnSpPr>
      <xdr:spPr>
        <a:xfrm>
          <a:off x="32094593" y="504033"/>
          <a:ext cx="27235" cy="47169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118</xdr:col>
      <xdr:colOff>214108</xdr:colOff>
      <xdr:row>1</xdr:row>
      <xdr:rowOff>207541</xdr:rowOff>
    </xdr:from>
    <xdr:to>
      <xdr:col>118</xdr:col>
      <xdr:colOff>232572</xdr:colOff>
      <xdr:row>1</xdr:row>
      <xdr:rowOff>249006</xdr:rowOff>
    </xdr:to>
    <xdr:cxnSp macro="">
      <xdr:nvCxnSpPr>
        <xdr:cNvPr id="5208" name="MinuteMarker2_56">
          <a:extLst>
            <a:ext uri="{FF2B5EF4-FFF2-40B4-BE49-F238E27FC236}">
              <a16:creationId xmlns:a16="http://schemas.microsoft.com/office/drawing/2014/main" id="{30F36C29-1A71-E04A-DA20-08C2858BB7A2}"/>
            </a:ext>
          </a:extLst>
        </xdr:cNvPr>
        <xdr:cNvCxnSpPr/>
      </xdr:nvCxnSpPr>
      <xdr:spPr>
        <a:xfrm flipH="1" flipV="1">
          <a:off x="32170483" y="455191"/>
          <a:ext cx="18464" cy="4146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118</xdr:col>
      <xdr:colOff>298382</xdr:colOff>
      <xdr:row>1</xdr:row>
      <xdr:rowOff>175192</xdr:rowOff>
    </xdr:from>
    <xdr:to>
      <xdr:col>118</xdr:col>
      <xdr:colOff>312406</xdr:colOff>
      <xdr:row>1</xdr:row>
      <xdr:rowOff>218359</xdr:rowOff>
    </xdr:to>
    <xdr:cxnSp macro="">
      <xdr:nvCxnSpPr>
        <xdr:cNvPr id="5209" name="MinuteMarker2_57">
          <a:extLst>
            <a:ext uri="{FF2B5EF4-FFF2-40B4-BE49-F238E27FC236}">
              <a16:creationId xmlns:a16="http://schemas.microsoft.com/office/drawing/2014/main" id="{37234CFB-3150-186B-01B8-2D5CE86BF4A7}"/>
            </a:ext>
          </a:extLst>
        </xdr:cNvPr>
        <xdr:cNvCxnSpPr/>
      </xdr:nvCxnSpPr>
      <xdr:spPr>
        <a:xfrm flipH="1" flipV="1">
          <a:off x="32254757" y="422842"/>
          <a:ext cx="14024" cy="4316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4573</xdr:colOff>
      <xdr:row>1</xdr:row>
      <xdr:rowOff>151829</xdr:rowOff>
    </xdr:from>
    <xdr:to>
      <xdr:col>119</xdr:col>
      <xdr:colOff>14008</xdr:colOff>
      <xdr:row>1</xdr:row>
      <xdr:rowOff>196226</xdr:rowOff>
    </xdr:to>
    <xdr:cxnSp macro="">
      <xdr:nvCxnSpPr>
        <xdr:cNvPr id="5210" name="MinuteMarker2_58">
          <a:extLst>
            <a:ext uri="{FF2B5EF4-FFF2-40B4-BE49-F238E27FC236}">
              <a16:creationId xmlns:a16="http://schemas.microsoft.com/office/drawing/2014/main" id="{7610F255-88D8-2578-3CB5-A802131AEF21}"/>
            </a:ext>
          </a:extLst>
        </xdr:cNvPr>
        <xdr:cNvCxnSpPr/>
      </xdr:nvCxnSpPr>
      <xdr:spPr>
        <a:xfrm flipH="1" flipV="1">
          <a:off x="32341948" y="399479"/>
          <a:ext cx="9435" cy="4439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93728</xdr:colOff>
      <xdr:row>1</xdr:row>
      <xdr:rowOff>137708</xdr:rowOff>
    </xdr:from>
    <xdr:to>
      <xdr:col>119</xdr:col>
      <xdr:colOff>98475</xdr:colOff>
      <xdr:row>1</xdr:row>
      <xdr:rowOff>182848</xdr:rowOff>
    </xdr:to>
    <xdr:cxnSp macro="">
      <xdr:nvCxnSpPr>
        <xdr:cNvPr id="5211" name="MinuteMarker2_59">
          <a:extLst>
            <a:ext uri="{FF2B5EF4-FFF2-40B4-BE49-F238E27FC236}">
              <a16:creationId xmlns:a16="http://schemas.microsoft.com/office/drawing/2014/main" id="{95E39A1D-8A92-C0D8-E3BA-C3217223B2CC}"/>
            </a:ext>
          </a:extLst>
        </xdr:cNvPr>
        <xdr:cNvCxnSpPr/>
      </xdr:nvCxnSpPr>
      <xdr:spPr>
        <a:xfrm flipH="1" flipV="1">
          <a:off x="32431103" y="385358"/>
          <a:ext cx="4747" cy="4514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124</xdr:col>
      <xdr:colOff>193396</xdr:colOff>
      <xdr:row>1</xdr:row>
      <xdr:rowOff>142062</xdr:rowOff>
    </xdr:from>
    <xdr:to>
      <xdr:col>124</xdr:col>
      <xdr:colOff>193396</xdr:colOff>
      <xdr:row>1</xdr:row>
      <xdr:rowOff>196528</xdr:rowOff>
    </xdr:to>
    <xdr:cxnSp macro="">
      <xdr:nvCxnSpPr>
        <xdr:cNvPr id="5214" name="MinuteMarker3_0">
          <a:extLst>
            <a:ext uri="{FF2B5EF4-FFF2-40B4-BE49-F238E27FC236}">
              <a16:creationId xmlns:a16="http://schemas.microsoft.com/office/drawing/2014/main" id="{A004B6AD-FE83-4C33-A9B0-B318A7DB4BFB}"/>
            </a:ext>
          </a:extLst>
        </xdr:cNvPr>
        <xdr:cNvCxnSpPr/>
      </xdr:nvCxnSpPr>
      <xdr:spPr>
        <a:xfrm>
          <a:off x="34435771" y="389712"/>
          <a:ext cx="0" cy="54466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124</xdr:col>
      <xdr:colOff>278795</xdr:colOff>
      <xdr:row>1</xdr:row>
      <xdr:rowOff>137708</xdr:rowOff>
    </xdr:from>
    <xdr:to>
      <xdr:col>124</xdr:col>
      <xdr:colOff>283542</xdr:colOff>
      <xdr:row>1</xdr:row>
      <xdr:rowOff>182848</xdr:rowOff>
    </xdr:to>
    <xdr:cxnSp macro="">
      <xdr:nvCxnSpPr>
        <xdr:cNvPr id="5215" name="MinuteMarker3_1">
          <a:extLst>
            <a:ext uri="{FF2B5EF4-FFF2-40B4-BE49-F238E27FC236}">
              <a16:creationId xmlns:a16="http://schemas.microsoft.com/office/drawing/2014/main" id="{36A70765-C5A4-BA97-F68D-007CA638E3C9}"/>
            </a:ext>
          </a:extLst>
        </xdr:cNvPr>
        <xdr:cNvCxnSpPr/>
      </xdr:nvCxnSpPr>
      <xdr:spPr>
        <a:xfrm flipV="1">
          <a:off x="34521170" y="385358"/>
          <a:ext cx="4747" cy="4514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124</xdr:col>
      <xdr:colOff>363262</xdr:colOff>
      <xdr:row>1</xdr:row>
      <xdr:rowOff>151829</xdr:rowOff>
    </xdr:from>
    <xdr:to>
      <xdr:col>124</xdr:col>
      <xdr:colOff>372697</xdr:colOff>
      <xdr:row>1</xdr:row>
      <xdr:rowOff>196226</xdr:rowOff>
    </xdr:to>
    <xdr:cxnSp macro="">
      <xdr:nvCxnSpPr>
        <xdr:cNvPr id="5216" name="MinuteMarker3_2">
          <a:extLst>
            <a:ext uri="{FF2B5EF4-FFF2-40B4-BE49-F238E27FC236}">
              <a16:creationId xmlns:a16="http://schemas.microsoft.com/office/drawing/2014/main" id="{3DD632A7-E746-EAB3-C2B6-68200F47EEFC}"/>
            </a:ext>
          </a:extLst>
        </xdr:cNvPr>
        <xdr:cNvCxnSpPr/>
      </xdr:nvCxnSpPr>
      <xdr:spPr>
        <a:xfrm flipV="1">
          <a:off x="34605637" y="399479"/>
          <a:ext cx="9435" cy="4439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125</xdr:col>
      <xdr:colOff>64864</xdr:colOff>
      <xdr:row>1</xdr:row>
      <xdr:rowOff>175192</xdr:rowOff>
    </xdr:from>
    <xdr:to>
      <xdr:col>125</xdr:col>
      <xdr:colOff>78888</xdr:colOff>
      <xdr:row>1</xdr:row>
      <xdr:rowOff>218359</xdr:rowOff>
    </xdr:to>
    <xdr:cxnSp macro="">
      <xdr:nvCxnSpPr>
        <xdr:cNvPr id="5217" name="MinuteMarker3_3">
          <a:extLst>
            <a:ext uri="{FF2B5EF4-FFF2-40B4-BE49-F238E27FC236}">
              <a16:creationId xmlns:a16="http://schemas.microsoft.com/office/drawing/2014/main" id="{DF093EA6-B9E6-9910-A248-FCF8F6AC3330}"/>
            </a:ext>
          </a:extLst>
        </xdr:cNvPr>
        <xdr:cNvCxnSpPr/>
      </xdr:nvCxnSpPr>
      <xdr:spPr>
        <a:xfrm flipV="1">
          <a:off x="34688239" y="422842"/>
          <a:ext cx="14024" cy="4316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125</xdr:col>
      <xdr:colOff>144698</xdr:colOff>
      <xdr:row>1</xdr:row>
      <xdr:rowOff>207541</xdr:rowOff>
    </xdr:from>
    <xdr:to>
      <xdr:col>125</xdr:col>
      <xdr:colOff>163162</xdr:colOff>
      <xdr:row>1</xdr:row>
      <xdr:rowOff>249006</xdr:rowOff>
    </xdr:to>
    <xdr:cxnSp macro="">
      <xdr:nvCxnSpPr>
        <xdr:cNvPr id="5218" name="MinuteMarker3_4">
          <a:extLst>
            <a:ext uri="{FF2B5EF4-FFF2-40B4-BE49-F238E27FC236}">
              <a16:creationId xmlns:a16="http://schemas.microsoft.com/office/drawing/2014/main" id="{1EEC3D71-151F-B839-7572-FB22EF4DDAA6}"/>
            </a:ext>
          </a:extLst>
        </xdr:cNvPr>
        <xdr:cNvCxnSpPr/>
      </xdr:nvCxnSpPr>
      <xdr:spPr>
        <a:xfrm flipV="1">
          <a:off x="34768073" y="455191"/>
          <a:ext cx="18464" cy="4146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125</xdr:col>
      <xdr:colOff>211817</xdr:colOff>
      <xdr:row>1</xdr:row>
      <xdr:rowOff>256383</xdr:rowOff>
    </xdr:from>
    <xdr:to>
      <xdr:col>125</xdr:col>
      <xdr:colOff>239052</xdr:colOff>
      <xdr:row>2</xdr:row>
      <xdr:rowOff>8277</xdr:rowOff>
    </xdr:to>
    <xdr:cxnSp macro="">
      <xdr:nvCxnSpPr>
        <xdr:cNvPr id="5219" name="MinuteMarker3_5">
          <a:extLst>
            <a:ext uri="{FF2B5EF4-FFF2-40B4-BE49-F238E27FC236}">
              <a16:creationId xmlns:a16="http://schemas.microsoft.com/office/drawing/2014/main" id="{34BE85A6-C4B3-2883-6EDB-01F27D453934}"/>
            </a:ext>
          </a:extLst>
        </xdr:cNvPr>
        <xdr:cNvCxnSpPr/>
      </xdr:nvCxnSpPr>
      <xdr:spPr>
        <a:xfrm flipH="1">
          <a:off x="34835192" y="504033"/>
          <a:ext cx="27235" cy="47169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125</xdr:col>
      <xdr:colOff>292615</xdr:colOff>
      <xdr:row>2</xdr:row>
      <xdr:rowOff>2410</xdr:rowOff>
    </xdr:from>
    <xdr:to>
      <xdr:col>125</xdr:col>
      <xdr:colOff>319295</xdr:colOff>
      <xdr:row>2</xdr:row>
      <xdr:rowOff>39130</xdr:rowOff>
    </xdr:to>
    <xdr:cxnSp macro="">
      <xdr:nvCxnSpPr>
        <xdr:cNvPr id="5220" name="MinuteMarker3_6">
          <a:extLst>
            <a:ext uri="{FF2B5EF4-FFF2-40B4-BE49-F238E27FC236}">
              <a16:creationId xmlns:a16="http://schemas.microsoft.com/office/drawing/2014/main" id="{3ED409ED-9574-461D-51BE-84C772634E7E}"/>
            </a:ext>
          </a:extLst>
        </xdr:cNvPr>
        <xdr:cNvCxnSpPr/>
      </xdr:nvCxnSpPr>
      <xdr:spPr>
        <a:xfrm flipV="1">
          <a:off x="34915990" y="545335"/>
          <a:ext cx="26680" cy="3672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125</xdr:col>
      <xdr:colOff>359073</xdr:colOff>
      <xdr:row>2</xdr:row>
      <xdr:rowOff>59217</xdr:rowOff>
    </xdr:from>
    <xdr:to>
      <xdr:col>126</xdr:col>
      <xdr:colOff>8446</xdr:colOff>
      <xdr:row>2</xdr:row>
      <xdr:rowOff>92947</xdr:rowOff>
    </xdr:to>
    <xdr:cxnSp macro="">
      <xdr:nvCxnSpPr>
        <xdr:cNvPr id="5221" name="MinuteMarker3_7">
          <a:extLst>
            <a:ext uri="{FF2B5EF4-FFF2-40B4-BE49-F238E27FC236}">
              <a16:creationId xmlns:a16="http://schemas.microsoft.com/office/drawing/2014/main" id="{FDA38149-D5F0-99A6-520E-64CC83910AD4}"/>
            </a:ext>
          </a:extLst>
        </xdr:cNvPr>
        <xdr:cNvCxnSpPr/>
      </xdr:nvCxnSpPr>
      <xdr:spPr>
        <a:xfrm flipV="1">
          <a:off x="34982448" y="602142"/>
          <a:ext cx="30373" cy="3373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38543</xdr:colOff>
      <xdr:row>2</xdr:row>
      <xdr:rowOff>123046</xdr:rowOff>
    </xdr:from>
    <xdr:to>
      <xdr:col>126</xdr:col>
      <xdr:colOff>72275</xdr:colOff>
      <xdr:row>2</xdr:row>
      <xdr:rowOff>153417</xdr:rowOff>
    </xdr:to>
    <xdr:cxnSp macro="">
      <xdr:nvCxnSpPr>
        <xdr:cNvPr id="5222" name="MinuteMarker3_8">
          <a:extLst>
            <a:ext uri="{FF2B5EF4-FFF2-40B4-BE49-F238E27FC236}">
              <a16:creationId xmlns:a16="http://schemas.microsoft.com/office/drawing/2014/main" id="{D427E528-76F0-1BE0-72C0-90EAABBAD3C9}"/>
            </a:ext>
          </a:extLst>
        </xdr:cNvPr>
        <xdr:cNvCxnSpPr/>
      </xdr:nvCxnSpPr>
      <xdr:spPr>
        <a:xfrm flipV="1">
          <a:off x="35042918" y="665971"/>
          <a:ext cx="33732" cy="3037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92360</xdr:colOff>
      <xdr:row>2</xdr:row>
      <xdr:rowOff>193196</xdr:rowOff>
    </xdr:from>
    <xdr:to>
      <xdr:col>126</xdr:col>
      <xdr:colOff>129080</xdr:colOff>
      <xdr:row>2</xdr:row>
      <xdr:rowOff>219875</xdr:rowOff>
    </xdr:to>
    <xdr:cxnSp macro="">
      <xdr:nvCxnSpPr>
        <xdr:cNvPr id="5223" name="MinuteMarker3_9">
          <a:extLst>
            <a:ext uri="{FF2B5EF4-FFF2-40B4-BE49-F238E27FC236}">
              <a16:creationId xmlns:a16="http://schemas.microsoft.com/office/drawing/2014/main" id="{FAE3290B-B1D8-A99A-61CC-C509CEF9882F}"/>
            </a:ext>
          </a:extLst>
        </xdr:cNvPr>
        <xdr:cNvCxnSpPr/>
      </xdr:nvCxnSpPr>
      <xdr:spPr>
        <a:xfrm flipV="1">
          <a:off x="35096735" y="736121"/>
          <a:ext cx="36720" cy="26679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123214</xdr:colOff>
      <xdr:row>2</xdr:row>
      <xdr:rowOff>273440</xdr:rowOff>
    </xdr:from>
    <xdr:to>
      <xdr:col>126</xdr:col>
      <xdr:colOff>170383</xdr:colOff>
      <xdr:row>3</xdr:row>
      <xdr:rowOff>5398</xdr:rowOff>
    </xdr:to>
    <xdr:cxnSp macro="">
      <xdr:nvCxnSpPr>
        <xdr:cNvPr id="5224" name="MinuteMarker3_10">
          <a:extLst>
            <a:ext uri="{FF2B5EF4-FFF2-40B4-BE49-F238E27FC236}">
              <a16:creationId xmlns:a16="http://schemas.microsoft.com/office/drawing/2014/main" id="{052F691E-F591-B66A-5481-791B919F5DB9}"/>
            </a:ext>
          </a:extLst>
        </xdr:cNvPr>
        <xdr:cNvCxnSpPr/>
      </xdr:nvCxnSpPr>
      <xdr:spPr>
        <a:xfrm flipH="1">
          <a:off x="35127589" y="816365"/>
          <a:ext cx="47169" cy="27233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177760</xdr:colOff>
      <xdr:row>3</xdr:row>
      <xdr:rowOff>54055</xdr:rowOff>
    </xdr:from>
    <xdr:to>
      <xdr:col>126</xdr:col>
      <xdr:colOff>219224</xdr:colOff>
      <xdr:row>3</xdr:row>
      <xdr:rowOff>72516</xdr:rowOff>
    </xdr:to>
    <xdr:cxnSp macro="">
      <xdr:nvCxnSpPr>
        <xdr:cNvPr id="5225" name="MinuteMarker3_11">
          <a:extLst>
            <a:ext uri="{FF2B5EF4-FFF2-40B4-BE49-F238E27FC236}">
              <a16:creationId xmlns:a16="http://schemas.microsoft.com/office/drawing/2014/main" id="{A4D455FD-94E3-44C5-3FFE-4F3B1A7749F9}"/>
            </a:ext>
          </a:extLst>
        </xdr:cNvPr>
        <xdr:cNvCxnSpPr/>
      </xdr:nvCxnSpPr>
      <xdr:spPr>
        <a:xfrm flipV="1">
          <a:off x="35182135" y="892255"/>
          <a:ext cx="41464" cy="1846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208406</xdr:colOff>
      <xdr:row>3</xdr:row>
      <xdr:rowOff>138327</xdr:rowOff>
    </xdr:from>
    <xdr:to>
      <xdr:col>126</xdr:col>
      <xdr:colOff>251572</xdr:colOff>
      <xdr:row>3</xdr:row>
      <xdr:rowOff>152353</xdr:rowOff>
    </xdr:to>
    <xdr:cxnSp macro="">
      <xdr:nvCxnSpPr>
        <xdr:cNvPr id="5226" name="MinuteMarker3_12">
          <a:extLst>
            <a:ext uri="{FF2B5EF4-FFF2-40B4-BE49-F238E27FC236}">
              <a16:creationId xmlns:a16="http://schemas.microsoft.com/office/drawing/2014/main" id="{21CF54B7-BD7A-B3D4-AC26-2C502EC48EA4}"/>
            </a:ext>
          </a:extLst>
        </xdr:cNvPr>
        <xdr:cNvCxnSpPr/>
      </xdr:nvCxnSpPr>
      <xdr:spPr>
        <a:xfrm flipV="1">
          <a:off x="35212781" y="976527"/>
          <a:ext cx="43166" cy="14026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230541</xdr:colOff>
      <xdr:row>3</xdr:row>
      <xdr:rowOff>225518</xdr:rowOff>
    </xdr:from>
    <xdr:to>
      <xdr:col>126</xdr:col>
      <xdr:colOff>274935</xdr:colOff>
      <xdr:row>3</xdr:row>
      <xdr:rowOff>234955</xdr:rowOff>
    </xdr:to>
    <xdr:cxnSp macro="">
      <xdr:nvCxnSpPr>
        <xdr:cNvPr id="5227" name="MinuteMarker3_13">
          <a:extLst>
            <a:ext uri="{FF2B5EF4-FFF2-40B4-BE49-F238E27FC236}">
              <a16:creationId xmlns:a16="http://schemas.microsoft.com/office/drawing/2014/main" id="{5E41EAF3-DC8A-AD63-C984-043901ABECA7}"/>
            </a:ext>
          </a:extLst>
        </xdr:cNvPr>
        <xdr:cNvCxnSpPr/>
      </xdr:nvCxnSpPr>
      <xdr:spPr>
        <a:xfrm flipV="1">
          <a:off x="35234916" y="1063718"/>
          <a:ext cx="44394" cy="943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243917</xdr:colOff>
      <xdr:row>3</xdr:row>
      <xdr:rowOff>314674</xdr:rowOff>
    </xdr:from>
    <xdr:to>
      <xdr:col>126</xdr:col>
      <xdr:colOff>289058</xdr:colOff>
      <xdr:row>3</xdr:row>
      <xdr:rowOff>319419</xdr:rowOff>
    </xdr:to>
    <xdr:cxnSp macro="">
      <xdr:nvCxnSpPr>
        <xdr:cNvPr id="5228" name="MinuteMarker3_14">
          <a:extLst>
            <a:ext uri="{FF2B5EF4-FFF2-40B4-BE49-F238E27FC236}">
              <a16:creationId xmlns:a16="http://schemas.microsoft.com/office/drawing/2014/main" id="{C52871B5-F8A7-1477-85EE-C3BCF06AEDA9}"/>
            </a:ext>
          </a:extLst>
        </xdr:cNvPr>
        <xdr:cNvCxnSpPr/>
      </xdr:nvCxnSpPr>
      <xdr:spPr>
        <a:xfrm flipV="1">
          <a:off x="35248292" y="1152874"/>
          <a:ext cx="45141" cy="474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230237</xdr:colOff>
      <xdr:row>3</xdr:row>
      <xdr:rowOff>404818</xdr:rowOff>
    </xdr:from>
    <xdr:to>
      <xdr:col>126</xdr:col>
      <xdr:colOff>284705</xdr:colOff>
      <xdr:row>3</xdr:row>
      <xdr:rowOff>404818</xdr:rowOff>
    </xdr:to>
    <xdr:cxnSp macro="">
      <xdr:nvCxnSpPr>
        <xdr:cNvPr id="5229" name="MinuteMarker3_15">
          <a:extLst>
            <a:ext uri="{FF2B5EF4-FFF2-40B4-BE49-F238E27FC236}">
              <a16:creationId xmlns:a16="http://schemas.microsoft.com/office/drawing/2014/main" id="{FC5F2F09-740F-E717-D85D-A6F8670C2C89}"/>
            </a:ext>
          </a:extLst>
        </xdr:cNvPr>
        <xdr:cNvCxnSpPr/>
      </xdr:nvCxnSpPr>
      <xdr:spPr>
        <a:xfrm flipH="1">
          <a:off x="35234612" y="1243018"/>
          <a:ext cx="54468" cy="0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243917</xdr:colOff>
      <xdr:row>4</xdr:row>
      <xdr:rowOff>80642</xdr:rowOff>
    </xdr:from>
    <xdr:to>
      <xdr:col>126</xdr:col>
      <xdr:colOff>289058</xdr:colOff>
      <xdr:row>4</xdr:row>
      <xdr:rowOff>85387</xdr:rowOff>
    </xdr:to>
    <xdr:cxnSp macro="">
      <xdr:nvCxnSpPr>
        <xdr:cNvPr id="5230" name="MinuteMarker3_16">
          <a:extLst>
            <a:ext uri="{FF2B5EF4-FFF2-40B4-BE49-F238E27FC236}">
              <a16:creationId xmlns:a16="http://schemas.microsoft.com/office/drawing/2014/main" id="{82927D47-8BF0-F1D8-F490-1D53DC2C2B94}"/>
            </a:ext>
          </a:extLst>
        </xdr:cNvPr>
        <xdr:cNvCxnSpPr/>
      </xdr:nvCxnSpPr>
      <xdr:spPr>
        <a:xfrm>
          <a:off x="35248292" y="1328417"/>
          <a:ext cx="45141" cy="474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230541</xdr:colOff>
      <xdr:row>4</xdr:row>
      <xdr:rowOff>165106</xdr:rowOff>
    </xdr:from>
    <xdr:to>
      <xdr:col>126</xdr:col>
      <xdr:colOff>274935</xdr:colOff>
      <xdr:row>4</xdr:row>
      <xdr:rowOff>174543</xdr:rowOff>
    </xdr:to>
    <xdr:cxnSp macro="">
      <xdr:nvCxnSpPr>
        <xdr:cNvPr id="5231" name="MinuteMarker3_17">
          <a:extLst>
            <a:ext uri="{FF2B5EF4-FFF2-40B4-BE49-F238E27FC236}">
              <a16:creationId xmlns:a16="http://schemas.microsoft.com/office/drawing/2014/main" id="{2A5C6B47-3982-367B-0BB0-E616C21DC4DB}"/>
            </a:ext>
          </a:extLst>
        </xdr:cNvPr>
        <xdr:cNvCxnSpPr/>
      </xdr:nvCxnSpPr>
      <xdr:spPr>
        <a:xfrm>
          <a:off x="35234916" y="1412881"/>
          <a:ext cx="44394" cy="943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208406</xdr:colOff>
      <xdr:row>4</xdr:row>
      <xdr:rowOff>247708</xdr:rowOff>
    </xdr:from>
    <xdr:to>
      <xdr:col>126</xdr:col>
      <xdr:colOff>251572</xdr:colOff>
      <xdr:row>4</xdr:row>
      <xdr:rowOff>261734</xdr:rowOff>
    </xdr:to>
    <xdr:cxnSp macro="">
      <xdr:nvCxnSpPr>
        <xdr:cNvPr id="5232" name="MinuteMarker3_18">
          <a:extLst>
            <a:ext uri="{FF2B5EF4-FFF2-40B4-BE49-F238E27FC236}">
              <a16:creationId xmlns:a16="http://schemas.microsoft.com/office/drawing/2014/main" id="{B00A4AC0-EE9E-6FBF-627C-38A1B42E2D91}"/>
            </a:ext>
          </a:extLst>
        </xdr:cNvPr>
        <xdr:cNvCxnSpPr/>
      </xdr:nvCxnSpPr>
      <xdr:spPr>
        <a:xfrm>
          <a:off x="35212781" y="1495483"/>
          <a:ext cx="43166" cy="14026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177760</xdr:colOff>
      <xdr:row>5</xdr:row>
      <xdr:rowOff>32270</xdr:rowOff>
    </xdr:from>
    <xdr:to>
      <xdr:col>126</xdr:col>
      <xdr:colOff>219224</xdr:colOff>
      <xdr:row>5</xdr:row>
      <xdr:rowOff>50731</xdr:rowOff>
    </xdr:to>
    <xdr:cxnSp macro="">
      <xdr:nvCxnSpPr>
        <xdr:cNvPr id="5233" name="MinuteMarker3_19">
          <a:extLst>
            <a:ext uri="{FF2B5EF4-FFF2-40B4-BE49-F238E27FC236}">
              <a16:creationId xmlns:a16="http://schemas.microsoft.com/office/drawing/2014/main" id="{9672D15F-6CD1-266B-C122-1310881400AC}"/>
            </a:ext>
          </a:extLst>
        </xdr:cNvPr>
        <xdr:cNvCxnSpPr/>
      </xdr:nvCxnSpPr>
      <xdr:spPr>
        <a:xfrm>
          <a:off x="35182135" y="1575320"/>
          <a:ext cx="41464" cy="1846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123214</xdr:colOff>
      <xdr:row>5</xdr:row>
      <xdr:rowOff>99388</xdr:rowOff>
    </xdr:from>
    <xdr:to>
      <xdr:col>126</xdr:col>
      <xdr:colOff>170383</xdr:colOff>
      <xdr:row>5</xdr:row>
      <xdr:rowOff>126621</xdr:rowOff>
    </xdr:to>
    <xdr:cxnSp macro="">
      <xdr:nvCxnSpPr>
        <xdr:cNvPr id="5234" name="MinuteMarker3_20">
          <a:extLst>
            <a:ext uri="{FF2B5EF4-FFF2-40B4-BE49-F238E27FC236}">
              <a16:creationId xmlns:a16="http://schemas.microsoft.com/office/drawing/2014/main" id="{F043E53D-AAC9-10E9-16F7-326C7DA1D8A4}"/>
            </a:ext>
          </a:extLst>
        </xdr:cNvPr>
        <xdr:cNvCxnSpPr/>
      </xdr:nvCxnSpPr>
      <xdr:spPr>
        <a:xfrm flipH="1" flipV="1">
          <a:off x="35127589" y="1642438"/>
          <a:ext cx="47169" cy="27233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92360</xdr:colOff>
      <xdr:row>5</xdr:row>
      <xdr:rowOff>180186</xdr:rowOff>
    </xdr:from>
    <xdr:to>
      <xdr:col>126</xdr:col>
      <xdr:colOff>129080</xdr:colOff>
      <xdr:row>5</xdr:row>
      <xdr:rowOff>206865</xdr:rowOff>
    </xdr:to>
    <xdr:cxnSp macro="">
      <xdr:nvCxnSpPr>
        <xdr:cNvPr id="5235" name="MinuteMarker3_21">
          <a:extLst>
            <a:ext uri="{FF2B5EF4-FFF2-40B4-BE49-F238E27FC236}">
              <a16:creationId xmlns:a16="http://schemas.microsoft.com/office/drawing/2014/main" id="{E3D63885-A7ED-D5A3-DE44-3C449511CB5C}"/>
            </a:ext>
          </a:extLst>
        </xdr:cNvPr>
        <xdr:cNvCxnSpPr/>
      </xdr:nvCxnSpPr>
      <xdr:spPr>
        <a:xfrm>
          <a:off x="35096735" y="1723236"/>
          <a:ext cx="36720" cy="26679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38543</xdr:colOff>
      <xdr:row>5</xdr:row>
      <xdr:rowOff>246645</xdr:rowOff>
    </xdr:from>
    <xdr:to>
      <xdr:col>126</xdr:col>
      <xdr:colOff>72275</xdr:colOff>
      <xdr:row>5</xdr:row>
      <xdr:rowOff>277015</xdr:rowOff>
    </xdr:to>
    <xdr:cxnSp macro="">
      <xdr:nvCxnSpPr>
        <xdr:cNvPr id="5236" name="MinuteMarker3_22">
          <a:extLst>
            <a:ext uri="{FF2B5EF4-FFF2-40B4-BE49-F238E27FC236}">
              <a16:creationId xmlns:a16="http://schemas.microsoft.com/office/drawing/2014/main" id="{81A9416E-A494-B2FF-52C8-F4340591742F}"/>
            </a:ext>
          </a:extLst>
        </xdr:cNvPr>
        <xdr:cNvCxnSpPr/>
      </xdr:nvCxnSpPr>
      <xdr:spPr>
        <a:xfrm>
          <a:off x="35042918" y="1789695"/>
          <a:ext cx="33732" cy="3037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125</xdr:col>
      <xdr:colOff>359073</xdr:colOff>
      <xdr:row>6</xdr:row>
      <xdr:rowOff>11839</xdr:rowOff>
    </xdr:from>
    <xdr:to>
      <xdr:col>126</xdr:col>
      <xdr:colOff>8446</xdr:colOff>
      <xdr:row>6</xdr:row>
      <xdr:rowOff>45569</xdr:rowOff>
    </xdr:to>
    <xdr:cxnSp macro="">
      <xdr:nvCxnSpPr>
        <xdr:cNvPr id="5237" name="MinuteMarker3_23">
          <a:extLst>
            <a:ext uri="{FF2B5EF4-FFF2-40B4-BE49-F238E27FC236}">
              <a16:creationId xmlns:a16="http://schemas.microsoft.com/office/drawing/2014/main" id="{2DDF9351-E473-01B0-C65C-60FD8B142A54}"/>
            </a:ext>
          </a:extLst>
        </xdr:cNvPr>
        <xdr:cNvCxnSpPr/>
      </xdr:nvCxnSpPr>
      <xdr:spPr>
        <a:xfrm>
          <a:off x="34982448" y="1850164"/>
          <a:ext cx="30373" cy="3373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125</xdr:col>
      <xdr:colOff>292615</xdr:colOff>
      <xdr:row>6</xdr:row>
      <xdr:rowOff>65656</xdr:rowOff>
    </xdr:from>
    <xdr:to>
      <xdr:col>125</xdr:col>
      <xdr:colOff>319295</xdr:colOff>
      <xdr:row>6</xdr:row>
      <xdr:rowOff>102376</xdr:rowOff>
    </xdr:to>
    <xdr:cxnSp macro="">
      <xdr:nvCxnSpPr>
        <xdr:cNvPr id="5238" name="MinuteMarker3_24">
          <a:extLst>
            <a:ext uri="{FF2B5EF4-FFF2-40B4-BE49-F238E27FC236}">
              <a16:creationId xmlns:a16="http://schemas.microsoft.com/office/drawing/2014/main" id="{CB3D4581-D14F-BEC5-2F3C-F237FF2A2D79}"/>
            </a:ext>
          </a:extLst>
        </xdr:cNvPr>
        <xdr:cNvCxnSpPr/>
      </xdr:nvCxnSpPr>
      <xdr:spPr>
        <a:xfrm>
          <a:off x="34915990" y="1903981"/>
          <a:ext cx="26680" cy="3672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125</xdr:col>
      <xdr:colOff>211817</xdr:colOff>
      <xdr:row>6</xdr:row>
      <xdr:rowOff>96509</xdr:rowOff>
    </xdr:from>
    <xdr:to>
      <xdr:col>125</xdr:col>
      <xdr:colOff>239052</xdr:colOff>
      <xdr:row>6</xdr:row>
      <xdr:rowOff>143678</xdr:rowOff>
    </xdr:to>
    <xdr:cxnSp macro="">
      <xdr:nvCxnSpPr>
        <xdr:cNvPr id="5239" name="MinuteMarker3_25">
          <a:extLst>
            <a:ext uri="{FF2B5EF4-FFF2-40B4-BE49-F238E27FC236}">
              <a16:creationId xmlns:a16="http://schemas.microsoft.com/office/drawing/2014/main" id="{53205B1B-8250-BB2F-6673-C5A52776FB97}"/>
            </a:ext>
          </a:extLst>
        </xdr:cNvPr>
        <xdr:cNvCxnSpPr/>
      </xdr:nvCxnSpPr>
      <xdr:spPr>
        <a:xfrm flipH="1" flipV="1">
          <a:off x="34835192" y="1934834"/>
          <a:ext cx="27235" cy="47169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125</xdr:col>
      <xdr:colOff>144698</xdr:colOff>
      <xdr:row>6</xdr:row>
      <xdr:rowOff>151055</xdr:rowOff>
    </xdr:from>
    <xdr:to>
      <xdr:col>125</xdr:col>
      <xdr:colOff>163162</xdr:colOff>
      <xdr:row>6</xdr:row>
      <xdr:rowOff>192520</xdr:rowOff>
    </xdr:to>
    <xdr:cxnSp macro="">
      <xdr:nvCxnSpPr>
        <xdr:cNvPr id="5240" name="MinuteMarker3_26">
          <a:extLst>
            <a:ext uri="{FF2B5EF4-FFF2-40B4-BE49-F238E27FC236}">
              <a16:creationId xmlns:a16="http://schemas.microsoft.com/office/drawing/2014/main" id="{63104D83-DAE2-3876-D66C-C988613C3A7C}"/>
            </a:ext>
          </a:extLst>
        </xdr:cNvPr>
        <xdr:cNvCxnSpPr/>
      </xdr:nvCxnSpPr>
      <xdr:spPr>
        <a:xfrm>
          <a:off x="34768073" y="1989380"/>
          <a:ext cx="18464" cy="4146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125</xdr:col>
      <xdr:colOff>64864</xdr:colOff>
      <xdr:row>6</xdr:row>
      <xdr:rowOff>181702</xdr:rowOff>
    </xdr:from>
    <xdr:to>
      <xdr:col>125</xdr:col>
      <xdr:colOff>78888</xdr:colOff>
      <xdr:row>6</xdr:row>
      <xdr:rowOff>224869</xdr:rowOff>
    </xdr:to>
    <xdr:cxnSp macro="">
      <xdr:nvCxnSpPr>
        <xdr:cNvPr id="5241" name="MinuteMarker3_27">
          <a:extLst>
            <a:ext uri="{FF2B5EF4-FFF2-40B4-BE49-F238E27FC236}">
              <a16:creationId xmlns:a16="http://schemas.microsoft.com/office/drawing/2014/main" id="{2418F2C1-1ABC-3FA6-456C-94EBFBF6DE71}"/>
            </a:ext>
          </a:extLst>
        </xdr:cNvPr>
        <xdr:cNvCxnSpPr/>
      </xdr:nvCxnSpPr>
      <xdr:spPr>
        <a:xfrm>
          <a:off x="34688239" y="2020027"/>
          <a:ext cx="14024" cy="4316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124</xdr:col>
      <xdr:colOff>363262</xdr:colOff>
      <xdr:row>6</xdr:row>
      <xdr:rowOff>203835</xdr:rowOff>
    </xdr:from>
    <xdr:to>
      <xdr:col>124</xdr:col>
      <xdr:colOff>372697</xdr:colOff>
      <xdr:row>6</xdr:row>
      <xdr:rowOff>248232</xdr:rowOff>
    </xdr:to>
    <xdr:cxnSp macro="">
      <xdr:nvCxnSpPr>
        <xdr:cNvPr id="5242" name="MinuteMarker3_28">
          <a:extLst>
            <a:ext uri="{FF2B5EF4-FFF2-40B4-BE49-F238E27FC236}">
              <a16:creationId xmlns:a16="http://schemas.microsoft.com/office/drawing/2014/main" id="{17477CF5-8EED-FC0C-1EB1-C86940EBA98C}"/>
            </a:ext>
          </a:extLst>
        </xdr:cNvPr>
        <xdr:cNvCxnSpPr/>
      </xdr:nvCxnSpPr>
      <xdr:spPr>
        <a:xfrm>
          <a:off x="34605637" y="2042160"/>
          <a:ext cx="9435" cy="4439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124</xdr:col>
      <xdr:colOff>278795</xdr:colOff>
      <xdr:row>6</xdr:row>
      <xdr:rowOff>217213</xdr:rowOff>
    </xdr:from>
    <xdr:to>
      <xdr:col>124</xdr:col>
      <xdr:colOff>283542</xdr:colOff>
      <xdr:row>6</xdr:row>
      <xdr:rowOff>262353</xdr:rowOff>
    </xdr:to>
    <xdr:cxnSp macro="">
      <xdr:nvCxnSpPr>
        <xdr:cNvPr id="5243" name="MinuteMarker3_29">
          <a:extLst>
            <a:ext uri="{FF2B5EF4-FFF2-40B4-BE49-F238E27FC236}">
              <a16:creationId xmlns:a16="http://schemas.microsoft.com/office/drawing/2014/main" id="{4B704D2E-47B4-6DEB-F451-62271192D3F2}"/>
            </a:ext>
          </a:extLst>
        </xdr:cNvPr>
        <xdr:cNvCxnSpPr/>
      </xdr:nvCxnSpPr>
      <xdr:spPr>
        <a:xfrm>
          <a:off x="34521170" y="2055538"/>
          <a:ext cx="4747" cy="4514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124</xdr:col>
      <xdr:colOff>193396</xdr:colOff>
      <xdr:row>6</xdr:row>
      <xdr:rowOff>203533</xdr:rowOff>
    </xdr:from>
    <xdr:to>
      <xdr:col>124</xdr:col>
      <xdr:colOff>193396</xdr:colOff>
      <xdr:row>6</xdr:row>
      <xdr:rowOff>257999</xdr:rowOff>
    </xdr:to>
    <xdr:cxnSp macro="">
      <xdr:nvCxnSpPr>
        <xdr:cNvPr id="5244" name="MinuteMarker3_30">
          <a:extLst>
            <a:ext uri="{FF2B5EF4-FFF2-40B4-BE49-F238E27FC236}">
              <a16:creationId xmlns:a16="http://schemas.microsoft.com/office/drawing/2014/main" id="{EA9C72BB-2310-2DE9-405E-E9FDA1BA590A}"/>
            </a:ext>
          </a:extLst>
        </xdr:cNvPr>
        <xdr:cNvCxnSpPr/>
      </xdr:nvCxnSpPr>
      <xdr:spPr>
        <a:xfrm flipV="1">
          <a:off x="34435771" y="2041858"/>
          <a:ext cx="0" cy="54466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124</xdr:col>
      <xdr:colOff>103253</xdr:colOff>
      <xdr:row>6</xdr:row>
      <xdr:rowOff>217213</xdr:rowOff>
    </xdr:from>
    <xdr:to>
      <xdr:col>124</xdr:col>
      <xdr:colOff>108000</xdr:colOff>
      <xdr:row>6</xdr:row>
      <xdr:rowOff>262353</xdr:rowOff>
    </xdr:to>
    <xdr:cxnSp macro="">
      <xdr:nvCxnSpPr>
        <xdr:cNvPr id="5245" name="MinuteMarker3_31">
          <a:extLst>
            <a:ext uri="{FF2B5EF4-FFF2-40B4-BE49-F238E27FC236}">
              <a16:creationId xmlns:a16="http://schemas.microsoft.com/office/drawing/2014/main" id="{AA08D75E-B055-0BB9-BB41-7328AC131FCE}"/>
            </a:ext>
          </a:extLst>
        </xdr:cNvPr>
        <xdr:cNvCxnSpPr/>
      </xdr:nvCxnSpPr>
      <xdr:spPr>
        <a:xfrm flipH="1">
          <a:off x="34345628" y="2055538"/>
          <a:ext cx="4747" cy="4514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124</xdr:col>
      <xdr:colOff>14098</xdr:colOff>
      <xdr:row>6</xdr:row>
      <xdr:rowOff>203835</xdr:rowOff>
    </xdr:from>
    <xdr:to>
      <xdr:col>124</xdr:col>
      <xdr:colOff>23533</xdr:colOff>
      <xdr:row>6</xdr:row>
      <xdr:rowOff>248232</xdr:rowOff>
    </xdr:to>
    <xdr:cxnSp macro="">
      <xdr:nvCxnSpPr>
        <xdr:cNvPr id="5246" name="MinuteMarker3_32">
          <a:extLst>
            <a:ext uri="{FF2B5EF4-FFF2-40B4-BE49-F238E27FC236}">
              <a16:creationId xmlns:a16="http://schemas.microsoft.com/office/drawing/2014/main" id="{808B9F74-AAB9-F0DD-87DE-9CC5FE8F9F1E}"/>
            </a:ext>
          </a:extLst>
        </xdr:cNvPr>
        <xdr:cNvCxnSpPr/>
      </xdr:nvCxnSpPr>
      <xdr:spPr>
        <a:xfrm flipH="1">
          <a:off x="34256473" y="2042160"/>
          <a:ext cx="9435" cy="4439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307907</xdr:colOff>
      <xdr:row>6</xdr:row>
      <xdr:rowOff>181702</xdr:rowOff>
    </xdr:from>
    <xdr:to>
      <xdr:col>123</xdr:col>
      <xdr:colOff>321931</xdr:colOff>
      <xdr:row>6</xdr:row>
      <xdr:rowOff>224869</xdr:rowOff>
    </xdr:to>
    <xdr:cxnSp macro="">
      <xdr:nvCxnSpPr>
        <xdr:cNvPr id="5247" name="MinuteMarker3_33">
          <a:extLst>
            <a:ext uri="{FF2B5EF4-FFF2-40B4-BE49-F238E27FC236}">
              <a16:creationId xmlns:a16="http://schemas.microsoft.com/office/drawing/2014/main" id="{C59367AB-9055-742A-7F00-E555A3589566}"/>
            </a:ext>
          </a:extLst>
        </xdr:cNvPr>
        <xdr:cNvCxnSpPr/>
      </xdr:nvCxnSpPr>
      <xdr:spPr>
        <a:xfrm flipH="1">
          <a:off x="34169282" y="2020027"/>
          <a:ext cx="14024" cy="4316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223633</xdr:colOff>
      <xdr:row>6</xdr:row>
      <xdr:rowOff>151055</xdr:rowOff>
    </xdr:from>
    <xdr:to>
      <xdr:col>123</xdr:col>
      <xdr:colOff>242097</xdr:colOff>
      <xdr:row>6</xdr:row>
      <xdr:rowOff>192520</xdr:rowOff>
    </xdr:to>
    <xdr:cxnSp macro="">
      <xdr:nvCxnSpPr>
        <xdr:cNvPr id="5248" name="MinuteMarker3_34">
          <a:extLst>
            <a:ext uri="{FF2B5EF4-FFF2-40B4-BE49-F238E27FC236}">
              <a16:creationId xmlns:a16="http://schemas.microsoft.com/office/drawing/2014/main" id="{2BA10353-C6B0-1AA4-14F3-07830939B9FE}"/>
            </a:ext>
          </a:extLst>
        </xdr:cNvPr>
        <xdr:cNvCxnSpPr/>
      </xdr:nvCxnSpPr>
      <xdr:spPr>
        <a:xfrm flipH="1">
          <a:off x="34085008" y="1989380"/>
          <a:ext cx="18464" cy="4146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147743</xdr:colOff>
      <xdr:row>6</xdr:row>
      <xdr:rowOff>96509</xdr:rowOff>
    </xdr:from>
    <xdr:to>
      <xdr:col>123</xdr:col>
      <xdr:colOff>174978</xdr:colOff>
      <xdr:row>6</xdr:row>
      <xdr:rowOff>143678</xdr:rowOff>
    </xdr:to>
    <xdr:cxnSp macro="">
      <xdr:nvCxnSpPr>
        <xdr:cNvPr id="5249" name="MinuteMarker3_35">
          <a:extLst>
            <a:ext uri="{FF2B5EF4-FFF2-40B4-BE49-F238E27FC236}">
              <a16:creationId xmlns:a16="http://schemas.microsoft.com/office/drawing/2014/main" id="{96976E65-5A99-0DEB-8753-5658D77DC651}"/>
            </a:ext>
          </a:extLst>
        </xdr:cNvPr>
        <xdr:cNvCxnSpPr/>
      </xdr:nvCxnSpPr>
      <xdr:spPr>
        <a:xfrm flipV="1">
          <a:off x="34009118" y="1934834"/>
          <a:ext cx="27235" cy="47169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67500</xdr:colOff>
      <xdr:row>6</xdr:row>
      <xdr:rowOff>65656</xdr:rowOff>
    </xdr:from>
    <xdr:to>
      <xdr:col>123</xdr:col>
      <xdr:colOff>94180</xdr:colOff>
      <xdr:row>6</xdr:row>
      <xdr:rowOff>102376</xdr:rowOff>
    </xdr:to>
    <xdr:cxnSp macro="">
      <xdr:nvCxnSpPr>
        <xdr:cNvPr id="5250" name="MinuteMarker3_36">
          <a:extLst>
            <a:ext uri="{FF2B5EF4-FFF2-40B4-BE49-F238E27FC236}">
              <a16:creationId xmlns:a16="http://schemas.microsoft.com/office/drawing/2014/main" id="{D62DD70A-CE62-6D8D-C291-9D01E556160A}"/>
            </a:ext>
          </a:extLst>
        </xdr:cNvPr>
        <xdr:cNvCxnSpPr/>
      </xdr:nvCxnSpPr>
      <xdr:spPr>
        <a:xfrm flipH="1">
          <a:off x="33928875" y="1903981"/>
          <a:ext cx="26680" cy="3672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378349</xdr:colOff>
      <xdr:row>6</xdr:row>
      <xdr:rowOff>11839</xdr:rowOff>
    </xdr:from>
    <xdr:to>
      <xdr:col>123</xdr:col>
      <xdr:colOff>27722</xdr:colOff>
      <xdr:row>6</xdr:row>
      <xdr:rowOff>45569</xdr:rowOff>
    </xdr:to>
    <xdr:cxnSp macro="">
      <xdr:nvCxnSpPr>
        <xdr:cNvPr id="5251" name="MinuteMarker3_37">
          <a:extLst>
            <a:ext uri="{FF2B5EF4-FFF2-40B4-BE49-F238E27FC236}">
              <a16:creationId xmlns:a16="http://schemas.microsoft.com/office/drawing/2014/main" id="{BF798B56-08B2-DAB2-FE7A-1E16E0E67914}"/>
            </a:ext>
          </a:extLst>
        </xdr:cNvPr>
        <xdr:cNvCxnSpPr/>
      </xdr:nvCxnSpPr>
      <xdr:spPr>
        <a:xfrm flipH="1">
          <a:off x="33858724" y="1850164"/>
          <a:ext cx="30373" cy="3373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314520</xdr:colOff>
      <xdr:row>5</xdr:row>
      <xdr:rowOff>246645</xdr:rowOff>
    </xdr:from>
    <xdr:to>
      <xdr:col>122</xdr:col>
      <xdr:colOff>348252</xdr:colOff>
      <xdr:row>5</xdr:row>
      <xdr:rowOff>277015</xdr:rowOff>
    </xdr:to>
    <xdr:cxnSp macro="">
      <xdr:nvCxnSpPr>
        <xdr:cNvPr id="5252" name="MinuteMarker3_38">
          <a:extLst>
            <a:ext uri="{FF2B5EF4-FFF2-40B4-BE49-F238E27FC236}">
              <a16:creationId xmlns:a16="http://schemas.microsoft.com/office/drawing/2014/main" id="{C35555EF-9E2E-7FE6-2B69-AEBD6E7C1283}"/>
            </a:ext>
          </a:extLst>
        </xdr:cNvPr>
        <xdr:cNvCxnSpPr/>
      </xdr:nvCxnSpPr>
      <xdr:spPr>
        <a:xfrm flipH="1">
          <a:off x="33794895" y="1789695"/>
          <a:ext cx="33732" cy="3037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257715</xdr:colOff>
      <xdr:row>5</xdr:row>
      <xdr:rowOff>180186</xdr:rowOff>
    </xdr:from>
    <xdr:to>
      <xdr:col>122</xdr:col>
      <xdr:colOff>294435</xdr:colOff>
      <xdr:row>5</xdr:row>
      <xdr:rowOff>206865</xdr:rowOff>
    </xdr:to>
    <xdr:cxnSp macro="">
      <xdr:nvCxnSpPr>
        <xdr:cNvPr id="5253" name="MinuteMarker3_39">
          <a:extLst>
            <a:ext uri="{FF2B5EF4-FFF2-40B4-BE49-F238E27FC236}">
              <a16:creationId xmlns:a16="http://schemas.microsoft.com/office/drawing/2014/main" id="{BD88B33F-942A-D279-44F1-B5C678B7C46B}"/>
            </a:ext>
          </a:extLst>
        </xdr:cNvPr>
        <xdr:cNvCxnSpPr/>
      </xdr:nvCxnSpPr>
      <xdr:spPr>
        <a:xfrm flipH="1">
          <a:off x="33738090" y="1723236"/>
          <a:ext cx="36720" cy="26679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216412</xdr:colOff>
      <xdr:row>5</xdr:row>
      <xdr:rowOff>99388</xdr:rowOff>
    </xdr:from>
    <xdr:to>
      <xdr:col>122</xdr:col>
      <xdr:colOff>263581</xdr:colOff>
      <xdr:row>5</xdr:row>
      <xdr:rowOff>126621</xdr:rowOff>
    </xdr:to>
    <xdr:cxnSp macro="">
      <xdr:nvCxnSpPr>
        <xdr:cNvPr id="5254" name="MinuteMarker3_40">
          <a:extLst>
            <a:ext uri="{FF2B5EF4-FFF2-40B4-BE49-F238E27FC236}">
              <a16:creationId xmlns:a16="http://schemas.microsoft.com/office/drawing/2014/main" id="{86D2803C-8412-7827-7BCB-8A72F9B18E13}"/>
            </a:ext>
          </a:extLst>
        </xdr:cNvPr>
        <xdr:cNvCxnSpPr/>
      </xdr:nvCxnSpPr>
      <xdr:spPr>
        <a:xfrm flipV="1">
          <a:off x="33696787" y="1642438"/>
          <a:ext cx="47169" cy="27233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167571</xdr:colOff>
      <xdr:row>5</xdr:row>
      <xdr:rowOff>32270</xdr:rowOff>
    </xdr:from>
    <xdr:to>
      <xdr:col>122</xdr:col>
      <xdr:colOff>209035</xdr:colOff>
      <xdr:row>5</xdr:row>
      <xdr:rowOff>50731</xdr:rowOff>
    </xdr:to>
    <xdr:cxnSp macro="">
      <xdr:nvCxnSpPr>
        <xdr:cNvPr id="5255" name="MinuteMarker3_41">
          <a:extLst>
            <a:ext uri="{FF2B5EF4-FFF2-40B4-BE49-F238E27FC236}">
              <a16:creationId xmlns:a16="http://schemas.microsoft.com/office/drawing/2014/main" id="{6F86AB27-130F-D4B0-1D15-CB1BE0D68A77}"/>
            </a:ext>
          </a:extLst>
        </xdr:cNvPr>
        <xdr:cNvCxnSpPr/>
      </xdr:nvCxnSpPr>
      <xdr:spPr>
        <a:xfrm flipH="1">
          <a:off x="33647946" y="1575320"/>
          <a:ext cx="41464" cy="1846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135223</xdr:colOff>
      <xdr:row>4</xdr:row>
      <xdr:rowOff>247708</xdr:rowOff>
    </xdr:from>
    <xdr:to>
      <xdr:col>122</xdr:col>
      <xdr:colOff>178389</xdr:colOff>
      <xdr:row>4</xdr:row>
      <xdr:rowOff>261734</xdr:rowOff>
    </xdr:to>
    <xdr:cxnSp macro="">
      <xdr:nvCxnSpPr>
        <xdr:cNvPr id="5256" name="MinuteMarker3_42">
          <a:extLst>
            <a:ext uri="{FF2B5EF4-FFF2-40B4-BE49-F238E27FC236}">
              <a16:creationId xmlns:a16="http://schemas.microsoft.com/office/drawing/2014/main" id="{BB300B22-E10E-F27B-CEBA-81261A6E4778}"/>
            </a:ext>
          </a:extLst>
        </xdr:cNvPr>
        <xdr:cNvCxnSpPr/>
      </xdr:nvCxnSpPr>
      <xdr:spPr>
        <a:xfrm flipH="1">
          <a:off x="33615598" y="1495483"/>
          <a:ext cx="43166" cy="14026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111860</xdr:colOff>
      <xdr:row>4</xdr:row>
      <xdr:rowOff>165106</xdr:rowOff>
    </xdr:from>
    <xdr:to>
      <xdr:col>122</xdr:col>
      <xdr:colOff>156254</xdr:colOff>
      <xdr:row>4</xdr:row>
      <xdr:rowOff>174543</xdr:rowOff>
    </xdr:to>
    <xdr:cxnSp macro="">
      <xdr:nvCxnSpPr>
        <xdr:cNvPr id="5257" name="MinuteMarker3_43">
          <a:extLst>
            <a:ext uri="{FF2B5EF4-FFF2-40B4-BE49-F238E27FC236}">
              <a16:creationId xmlns:a16="http://schemas.microsoft.com/office/drawing/2014/main" id="{47E749A8-3EC1-2A41-2A21-F94D13DC2A95}"/>
            </a:ext>
          </a:extLst>
        </xdr:cNvPr>
        <xdr:cNvCxnSpPr/>
      </xdr:nvCxnSpPr>
      <xdr:spPr>
        <a:xfrm flipH="1">
          <a:off x="33592235" y="1412881"/>
          <a:ext cx="44394" cy="943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97737</xdr:colOff>
      <xdr:row>4</xdr:row>
      <xdr:rowOff>80642</xdr:rowOff>
    </xdr:from>
    <xdr:to>
      <xdr:col>122</xdr:col>
      <xdr:colOff>142878</xdr:colOff>
      <xdr:row>4</xdr:row>
      <xdr:rowOff>85387</xdr:rowOff>
    </xdr:to>
    <xdr:cxnSp macro="">
      <xdr:nvCxnSpPr>
        <xdr:cNvPr id="5258" name="MinuteMarker3_44">
          <a:extLst>
            <a:ext uri="{FF2B5EF4-FFF2-40B4-BE49-F238E27FC236}">
              <a16:creationId xmlns:a16="http://schemas.microsoft.com/office/drawing/2014/main" id="{1D401145-4938-9D89-4A65-F2158E11C181}"/>
            </a:ext>
          </a:extLst>
        </xdr:cNvPr>
        <xdr:cNvCxnSpPr/>
      </xdr:nvCxnSpPr>
      <xdr:spPr>
        <a:xfrm flipH="1">
          <a:off x="33578112" y="1328417"/>
          <a:ext cx="45141" cy="474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102090</xdr:colOff>
      <xdr:row>3</xdr:row>
      <xdr:rowOff>404818</xdr:rowOff>
    </xdr:from>
    <xdr:to>
      <xdr:col>122</xdr:col>
      <xdr:colOff>156558</xdr:colOff>
      <xdr:row>3</xdr:row>
      <xdr:rowOff>404818</xdr:rowOff>
    </xdr:to>
    <xdr:cxnSp macro="">
      <xdr:nvCxnSpPr>
        <xdr:cNvPr id="5259" name="MinuteMarker3_45">
          <a:extLst>
            <a:ext uri="{FF2B5EF4-FFF2-40B4-BE49-F238E27FC236}">
              <a16:creationId xmlns:a16="http://schemas.microsoft.com/office/drawing/2014/main" id="{93585206-36A0-B4C6-5339-0A367D6E02AA}"/>
            </a:ext>
          </a:extLst>
        </xdr:cNvPr>
        <xdr:cNvCxnSpPr/>
      </xdr:nvCxnSpPr>
      <xdr:spPr>
        <a:xfrm>
          <a:off x="33582465" y="1243018"/>
          <a:ext cx="54468" cy="0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97737</xdr:colOff>
      <xdr:row>3</xdr:row>
      <xdr:rowOff>314674</xdr:rowOff>
    </xdr:from>
    <xdr:to>
      <xdr:col>122</xdr:col>
      <xdr:colOff>142878</xdr:colOff>
      <xdr:row>3</xdr:row>
      <xdr:rowOff>319419</xdr:rowOff>
    </xdr:to>
    <xdr:cxnSp macro="">
      <xdr:nvCxnSpPr>
        <xdr:cNvPr id="5260" name="MinuteMarker3_46">
          <a:extLst>
            <a:ext uri="{FF2B5EF4-FFF2-40B4-BE49-F238E27FC236}">
              <a16:creationId xmlns:a16="http://schemas.microsoft.com/office/drawing/2014/main" id="{F7B85DA7-69A6-9664-290F-5A5F52CE1B0A}"/>
            </a:ext>
          </a:extLst>
        </xdr:cNvPr>
        <xdr:cNvCxnSpPr/>
      </xdr:nvCxnSpPr>
      <xdr:spPr>
        <a:xfrm flipH="1" flipV="1">
          <a:off x="33578112" y="1152874"/>
          <a:ext cx="45141" cy="474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111860</xdr:colOff>
      <xdr:row>3</xdr:row>
      <xdr:rowOff>225518</xdr:rowOff>
    </xdr:from>
    <xdr:to>
      <xdr:col>122</xdr:col>
      <xdr:colOff>156254</xdr:colOff>
      <xdr:row>3</xdr:row>
      <xdr:rowOff>234955</xdr:rowOff>
    </xdr:to>
    <xdr:cxnSp macro="">
      <xdr:nvCxnSpPr>
        <xdr:cNvPr id="5261" name="MinuteMarker3_47">
          <a:extLst>
            <a:ext uri="{FF2B5EF4-FFF2-40B4-BE49-F238E27FC236}">
              <a16:creationId xmlns:a16="http://schemas.microsoft.com/office/drawing/2014/main" id="{9A51E79D-D92A-DB76-0F1D-E9A43FE0EA13}"/>
            </a:ext>
          </a:extLst>
        </xdr:cNvPr>
        <xdr:cNvCxnSpPr/>
      </xdr:nvCxnSpPr>
      <xdr:spPr>
        <a:xfrm flipH="1" flipV="1">
          <a:off x="33592235" y="1063718"/>
          <a:ext cx="44394" cy="943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135223</xdr:colOff>
      <xdr:row>3</xdr:row>
      <xdr:rowOff>138327</xdr:rowOff>
    </xdr:from>
    <xdr:to>
      <xdr:col>122</xdr:col>
      <xdr:colOff>178389</xdr:colOff>
      <xdr:row>3</xdr:row>
      <xdr:rowOff>152353</xdr:rowOff>
    </xdr:to>
    <xdr:cxnSp macro="">
      <xdr:nvCxnSpPr>
        <xdr:cNvPr id="5262" name="MinuteMarker3_48">
          <a:extLst>
            <a:ext uri="{FF2B5EF4-FFF2-40B4-BE49-F238E27FC236}">
              <a16:creationId xmlns:a16="http://schemas.microsoft.com/office/drawing/2014/main" id="{C16148A0-2754-407F-0987-94240EF3698F}"/>
            </a:ext>
          </a:extLst>
        </xdr:cNvPr>
        <xdr:cNvCxnSpPr/>
      </xdr:nvCxnSpPr>
      <xdr:spPr>
        <a:xfrm flipH="1" flipV="1">
          <a:off x="33615598" y="976527"/>
          <a:ext cx="43166" cy="14026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167571</xdr:colOff>
      <xdr:row>3</xdr:row>
      <xdr:rowOff>54055</xdr:rowOff>
    </xdr:from>
    <xdr:to>
      <xdr:col>122</xdr:col>
      <xdr:colOff>209035</xdr:colOff>
      <xdr:row>3</xdr:row>
      <xdr:rowOff>72516</xdr:rowOff>
    </xdr:to>
    <xdr:cxnSp macro="">
      <xdr:nvCxnSpPr>
        <xdr:cNvPr id="5263" name="MinuteMarker3_49">
          <a:extLst>
            <a:ext uri="{FF2B5EF4-FFF2-40B4-BE49-F238E27FC236}">
              <a16:creationId xmlns:a16="http://schemas.microsoft.com/office/drawing/2014/main" id="{3FC973F1-B13C-8B22-A717-46CFA7743549}"/>
            </a:ext>
          </a:extLst>
        </xdr:cNvPr>
        <xdr:cNvCxnSpPr/>
      </xdr:nvCxnSpPr>
      <xdr:spPr>
        <a:xfrm flipH="1" flipV="1">
          <a:off x="33647946" y="892255"/>
          <a:ext cx="41464" cy="1846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216412</xdr:colOff>
      <xdr:row>2</xdr:row>
      <xdr:rowOff>273440</xdr:rowOff>
    </xdr:from>
    <xdr:to>
      <xdr:col>122</xdr:col>
      <xdr:colOff>263581</xdr:colOff>
      <xdr:row>3</xdr:row>
      <xdr:rowOff>5398</xdr:rowOff>
    </xdr:to>
    <xdr:cxnSp macro="">
      <xdr:nvCxnSpPr>
        <xdr:cNvPr id="5264" name="MinuteMarker3_50">
          <a:extLst>
            <a:ext uri="{FF2B5EF4-FFF2-40B4-BE49-F238E27FC236}">
              <a16:creationId xmlns:a16="http://schemas.microsoft.com/office/drawing/2014/main" id="{6C2CFC7D-EF38-654F-C9FE-54C90CB8153B}"/>
            </a:ext>
          </a:extLst>
        </xdr:cNvPr>
        <xdr:cNvCxnSpPr/>
      </xdr:nvCxnSpPr>
      <xdr:spPr>
        <a:xfrm>
          <a:off x="33696787" y="816365"/>
          <a:ext cx="47169" cy="27233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257715</xdr:colOff>
      <xdr:row>2</xdr:row>
      <xdr:rowOff>193196</xdr:rowOff>
    </xdr:from>
    <xdr:to>
      <xdr:col>122</xdr:col>
      <xdr:colOff>294435</xdr:colOff>
      <xdr:row>2</xdr:row>
      <xdr:rowOff>219875</xdr:rowOff>
    </xdr:to>
    <xdr:cxnSp macro="">
      <xdr:nvCxnSpPr>
        <xdr:cNvPr id="5265" name="MinuteMarker3_51">
          <a:extLst>
            <a:ext uri="{FF2B5EF4-FFF2-40B4-BE49-F238E27FC236}">
              <a16:creationId xmlns:a16="http://schemas.microsoft.com/office/drawing/2014/main" id="{6F8F1501-F8BA-F883-086E-07515AC47E94}"/>
            </a:ext>
          </a:extLst>
        </xdr:cNvPr>
        <xdr:cNvCxnSpPr/>
      </xdr:nvCxnSpPr>
      <xdr:spPr>
        <a:xfrm flipH="1" flipV="1">
          <a:off x="33738090" y="736121"/>
          <a:ext cx="36720" cy="26679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314520</xdr:colOff>
      <xdr:row>2</xdr:row>
      <xdr:rowOff>123046</xdr:rowOff>
    </xdr:from>
    <xdr:to>
      <xdr:col>122</xdr:col>
      <xdr:colOff>348252</xdr:colOff>
      <xdr:row>2</xdr:row>
      <xdr:rowOff>153417</xdr:rowOff>
    </xdr:to>
    <xdr:cxnSp macro="">
      <xdr:nvCxnSpPr>
        <xdr:cNvPr id="5266" name="MinuteMarker3_52">
          <a:extLst>
            <a:ext uri="{FF2B5EF4-FFF2-40B4-BE49-F238E27FC236}">
              <a16:creationId xmlns:a16="http://schemas.microsoft.com/office/drawing/2014/main" id="{31CCD341-DB91-E4EE-D6F6-18245BAC01D2}"/>
            </a:ext>
          </a:extLst>
        </xdr:cNvPr>
        <xdr:cNvCxnSpPr/>
      </xdr:nvCxnSpPr>
      <xdr:spPr>
        <a:xfrm flipH="1" flipV="1">
          <a:off x="33794895" y="665971"/>
          <a:ext cx="33732" cy="3037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378349</xdr:colOff>
      <xdr:row>2</xdr:row>
      <xdr:rowOff>59217</xdr:rowOff>
    </xdr:from>
    <xdr:to>
      <xdr:col>123</xdr:col>
      <xdr:colOff>27722</xdr:colOff>
      <xdr:row>2</xdr:row>
      <xdr:rowOff>92947</xdr:rowOff>
    </xdr:to>
    <xdr:cxnSp macro="">
      <xdr:nvCxnSpPr>
        <xdr:cNvPr id="5267" name="MinuteMarker3_53">
          <a:extLst>
            <a:ext uri="{FF2B5EF4-FFF2-40B4-BE49-F238E27FC236}">
              <a16:creationId xmlns:a16="http://schemas.microsoft.com/office/drawing/2014/main" id="{20D4865B-0452-404B-21F0-C09A97BA2351}"/>
            </a:ext>
          </a:extLst>
        </xdr:cNvPr>
        <xdr:cNvCxnSpPr/>
      </xdr:nvCxnSpPr>
      <xdr:spPr>
        <a:xfrm flipH="1" flipV="1">
          <a:off x="33858724" y="602142"/>
          <a:ext cx="30373" cy="3373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67500</xdr:colOff>
      <xdr:row>2</xdr:row>
      <xdr:rowOff>2410</xdr:rowOff>
    </xdr:from>
    <xdr:to>
      <xdr:col>123</xdr:col>
      <xdr:colOff>94180</xdr:colOff>
      <xdr:row>2</xdr:row>
      <xdr:rowOff>39130</xdr:rowOff>
    </xdr:to>
    <xdr:cxnSp macro="">
      <xdr:nvCxnSpPr>
        <xdr:cNvPr id="5268" name="MinuteMarker3_54">
          <a:extLst>
            <a:ext uri="{FF2B5EF4-FFF2-40B4-BE49-F238E27FC236}">
              <a16:creationId xmlns:a16="http://schemas.microsoft.com/office/drawing/2014/main" id="{3B5748DF-E0A6-6582-3619-253C74D8B7F6}"/>
            </a:ext>
          </a:extLst>
        </xdr:cNvPr>
        <xdr:cNvCxnSpPr/>
      </xdr:nvCxnSpPr>
      <xdr:spPr>
        <a:xfrm flipH="1" flipV="1">
          <a:off x="33928875" y="545335"/>
          <a:ext cx="26680" cy="3672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147743</xdr:colOff>
      <xdr:row>1</xdr:row>
      <xdr:rowOff>256383</xdr:rowOff>
    </xdr:from>
    <xdr:to>
      <xdr:col>123</xdr:col>
      <xdr:colOff>174978</xdr:colOff>
      <xdr:row>2</xdr:row>
      <xdr:rowOff>8277</xdr:rowOff>
    </xdr:to>
    <xdr:cxnSp macro="">
      <xdr:nvCxnSpPr>
        <xdr:cNvPr id="5269" name="MinuteMarker3_55">
          <a:extLst>
            <a:ext uri="{FF2B5EF4-FFF2-40B4-BE49-F238E27FC236}">
              <a16:creationId xmlns:a16="http://schemas.microsoft.com/office/drawing/2014/main" id="{36956AA8-BFE6-B74D-4505-0DBDE9E02962}"/>
            </a:ext>
          </a:extLst>
        </xdr:cNvPr>
        <xdr:cNvCxnSpPr/>
      </xdr:nvCxnSpPr>
      <xdr:spPr>
        <a:xfrm>
          <a:off x="34009118" y="504033"/>
          <a:ext cx="27235" cy="47169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223633</xdr:colOff>
      <xdr:row>1</xdr:row>
      <xdr:rowOff>207541</xdr:rowOff>
    </xdr:from>
    <xdr:to>
      <xdr:col>123</xdr:col>
      <xdr:colOff>242097</xdr:colOff>
      <xdr:row>1</xdr:row>
      <xdr:rowOff>249006</xdr:rowOff>
    </xdr:to>
    <xdr:cxnSp macro="">
      <xdr:nvCxnSpPr>
        <xdr:cNvPr id="5270" name="MinuteMarker3_56">
          <a:extLst>
            <a:ext uri="{FF2B5EF4-FFF2-40B4-BE49-F238E27FC236}">
              <a16:creationId xmlns:a16="http://schemas.microsoft.com/office/drawing/2014/main" id="{64219C34-54A1-0DBE-B125-CA195AB11F8F}"/>
            </a:ext>
          </a:extLst>
        </xdr:cNvPr>
        <xdr:cNvCxnSpPr/>
      </xdr:nvCxnSpPr>
      <xdr:spPr>
        <a:xfrm flipH="1" flipV="1">
          <a:off x="34085008" y="455191"/>
          <a:ext cx="18464" cy="4146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307907</xdr:colOff>
      <xdr:row>1</xdr:row>
      <xdr:rowOff>175192</xdr:rowOff>
    </xdr:from>
    <xdr:to>
      <xdr:col>123</xdr:col>
      <xdr:colOff>321931</xdr:colOff>
      <xdr:row>1</xdr:row>
      <xdr:rowOff>218359</xdr:rowOff>
    </xdr:to>
    <xdr:cxnSp macro="">
      <xdr:nvCxnSpPr>
        <xdr:cNvPr id="5271" name="MinuteMarker3_57">
          <a:extLst>
            <a:ext uri="{FF2B5EF4-FFF2-40B4-BE49-F238E27FC236}">
              <a16:creationId xmlns:a16="http://schemas.microsoft.com/office/drawing/2014/main" id="{B329DD4F-6D67-B571-AA31-487FFE91C446}"/>
            </a:ext>
          </a:extLst>
        </xdr:cNvPr>
        <xdr:cNvCxnSpPr/>
      </xdr:nvCxnSpPr>
      <xdr:spPr>
        <a:xfrm flipH="1" flipV="1">
          <a:off x="34169282" y="422842"/>
          <a:ext cx="14024" cy="4316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124</xdr:col>
      <xdr:colOff>14098</xdr:colOff>
      <xdr:row>1</xdr:row>
      <xdr:rowOff>151829</xdr:rowOff>
    </xdr:from>
    <xdr:to>
      <xdr:col>124</xdr:col>
      <xdr:colOff>23533</xdr:colOff>
      <xdr:row>1</xdr:row>
      <xdr:rowOff>196226</xdr:rowOff>
    </xdr:to>
    <xdr:cxnSp macro="">
      <xdr:nvCxnSpPr>
        <xdr:cNvPr id="5272" name="MinuteMarker3_58">
          <a:extLst>
            <a:ext uri="{FF2B5EF4-FFF2-40B4-BE49-F238E27FC236}">
              <a16:creationId xmlns:a16="http://schemas.microsoft.com/office/drawing/2014/main" id="{60AAD958-94B1-9A3B-641F-65413A33E7AF}"/>
            </a:ext>
          </a:extLst>
        </xdr:cNvPr>
        <xdr:cNvCxnSpPr/>
      </xdr:nvCxnSpPr>
      <xdr:spPr>
        <a:xfrm flipH="1" flipV="1">
          <a:off x="34256473" y="399479"/>
          <a:ext cx="9435" cy="4439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124</xdr:col>
      <xdr:colOff>103253</xdr:colOff>
      <xdr:row>1</xdr:row>
      <xdr:rowOff>137708</xdr:rowOff>
    </xdr:from>
    <xdr:to>
      <xdr:col>124</xdr:col>
      <xdr:colOff>108000</xdr:colOff>
      <xdr:row>1</xdr:row>
      <xdr:rowOff>182848</xdr:rowOff>
    </xdr:to>
    <xdr:cxnSp macro="">
      <xdr:nvCxnSpPr>
        <xdr:cNvPr id="5273" name="MinuteMarker3_59">
          <a:extLst>
            <a:ext uri="{FF2B5EF4-FFF2-40B4-BE49-F238E27FC236}">
              <a16:creationId xmlns:a16="http://schemas.microsoft.com/office/drawing/2014/main" id="{C7D72C00-AD90-A7F8-742B-A542E62B06DD}"/>
            </a:ext>
          </a:extLst>
        </xdr:cNvPr>
        <xdr:cNvCxnSpPr/>
      </xdr:nvCxnSpPr>
      <xdr:spPr>
        <a:xfrm flipH="1" flipV="1">
          <a:off x="34345628" y="385358"/>
          <a:ext cx="4747" cy="4514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193396</xdr:colOff>
      <xdr:row>9</xdr:row>
      <xdr:rowOff>132537</xdr:rowOff>
    </xdr:from>
    <xdr:to>
      <xdr:col>114</xdr:col>
      <xdr:colOff>193396</xdr:colOff>
      <xdr:row>9</xdr:row>
      <xdr:rowOff>187003</xdr:rowOff>
    </xdr:to>
    <xdr:cxnSp macro="">
      <xdr:nvCxnSpPr>
        <xdr:cNvPr id="5276" name="MinuteMarker4_0">
          <a:extLst>
            <a:ext uri="{FF2B5EF4-FFF2-40B4-BE49-F238E27FC236}">
              <a16:creationId xmlns:a16="http://schemas.microsoft.com/office/drawing/2014/main" id="{36CCC191-4910-81B9-5334-1F528E64A0DE}"/>
            </a:ext>
          </a:extLst>
        </xdr:cNvPr>
        <xdr:cNvCxnSpPr/>
      </xdr:nvCxnSpPr>
      <xdr:spPr>
        <a:xfrm>
          <a:off x="30625771" y="2970987"/>
          <a:ext cx="0" cy="54466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278795</xdr:colOff>
      <xdr:row>9</xdr:row>
      <xdr:rowOff>128183</xdr:rowOff>
    </xdr:from>
    <xdr:to>
      <xdr:col>114</xdr:col>
      <xdr:colOff>283542</xdr:colOff>
      <xdr:row>9</xdr:row>
      <xdr:rowOff>173323</xdr:rowOff>
    </xdr:to>
    <xdr:cxnSp macro="">
      <xdr:nvCxnSpPr>
        <xdr:cNvPr id="5277" name="MinuteMarker4_1">
          <a:extLst>
            <a:ext uri="{FF2B5EF4-FFF2-40B4-BE49-F238E27FC236}">
              <a16:creationId xmlns:a16="http://schemas.microsoft.com/office/drawing/2014/main" id="{DC9C6746-5302-7384-4FD3-2EE08215347C}"/>
            </a:ext>
          </a:extLst>
        </xdr:cNvPr>
        <xdr:cNvCxnSpPr/>
      </xdr:nvCxnSpPr>
      <xdr:spPr>
        <a:xfrm flipV="1">
          <a:off x="30711170" y="2966633"/>
          <a:ext cx="4747" cy="4514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363262</xdr:colOff>
      <xdr:row>9</xdr:row>
      <xdr:rowOff>142304</xdr:rowOff>
    </xdr:from>
    <xdr:to>
      <xdr:col>114</xdr:col>
      <xdr:colOff>372697</xdr:colOff>
      <xdr:row>9</xdr:row>
      <xdr:rowOff>186701</xdr:rowOff>
    </xdr:to>
    <xdr:cxnSp macro="">
      <xdr:nvCxnSpPr>
        <xdr:cNvPr id="5278" name="MinuteMarker4_2">
          <a:extLst>
            <a:ext uri="{FF2B5EF4-FFF2-40B4-BE49-F238E27FC236}">
              <a16:creationId xmlns:a16="http://schemas.microsoft.com/office/drawing/2014/main" id="{56F62673-7B3F-8DE0-160B-2F0B38F240AC}"/>
            </a:ext>
          </a:extLst>
        </xdr:cNvPr>
        <xdr:cNvCxnSpPr/>
      </xdr:nvCxnSpPr>
      <xdr:spPr>
        <a:xfrm flipV="1">
          <a:off x="30795637" y="2980754"/>
          <a:ext cx="9435" cy="4439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115</xdr:col>
      <xdr:colOff>64864</xdr:colOff>
      <xdr:row>9</xdr:row>
      <xdr:rowOff>165667</xdr:rowOff>
    </xdr:from>
    <xdr:to>
      <xdr:col>115</xdr:col>
      <xdr:colOff>78888</xdr:colOff>
      <xdr:row>9</xdr:row>
      <xdr:rowOff>208834</xdr:rowOff>
    </xdr:to>
    <xdr:cxnSp macro="">
      <xdr:nvCxnSpPr>
        <xdr:cNvPr id="5279" name="MinuteMarker4_3">
          <a:extLst>
            <a:ext uri="{FF2B5EF4-FFF2-40B4-BE49-F238E27FC236}">
              <a16:creationId xmlns:a16="http://schemas.microsoft.com/office/drawing/2014/main" id="{E05307E3-8FF1-C827-712C-2FAF7E0E24C0}"/>
            </a:ext>
          </a:extLst>
        </xdr:cNvPr>
        <xdr:cNvCxnSpPr/>
      </xdr:nvCxnSpPr>
      <xdr:spPr>
        <a:xfrm flipV="1">
          <a:off x="30878239" y="3004117"/>
          <a:ext cx="14024" cy="4316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115</xdr:col>
      <xdr:colOff>144698</xdr:colOff>
      <xdr:row>9</xdr:row>
      <xdr:rowOff>198016</xdr:rowOff>
    </xdr:from>
    <xdr:to>
      <xdr:col>115</xdr:col>
      <xdr:colOff>163162</xdr:colOff>
      <xdr:row>9</xdr:row>
      <xdr:rowOff>239481</xdr:rowOff>
    </xdr:to>
    <xdr:cxnSp macro="">
      <xdr:nvCxnSpPr>
        <xdr:cNvPr id="5280" name="MinuteMarker4_4">
          <a:extLst>
            <a:ext uri="{FF2B5EF4-FFF2-40B4-BE49-F238E27FC236}">
              <a16:creationId xmlns:a16="http://schemas.microsoft.com/office/drawing/2014/main" id="{A2A2D630-7667-A19D-DD5F-AD1BEF816EC1}"/>
            </a:ext>
          </a:extLst>
        </xdr:cNvPr>
        <xdr:cNvCxnSpPr/>
      </xdr:nvCxnSpPr>
      <xdr:spPr>
        <a:xfrm flipV="1">
          <a:off x="30958073" y="3036466"/>
          <a:ext cx="18464" cy="4146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115</xdr:col>
      <xdr:colOff>211817</xdr:colOff>
      <xdr:row>9</xdr:row>
      <xdr:rowOff>246858</xdr:rowOff>
    </xdr:from>
    <xdr:to>
      <xdr:col>115</xdr:col>
      <xdr:colOff>239052</xdr:colOff>
      <xdr:row>9</xdr:row>
      <xdr:rowOff>294027</xdr:rowOff>
    </xdr:to>
    <xdr:cxnSp macro="">
      <xdr:nvCxnSpPr>
        <xdr:cNvPr id="5281" name="MinuteMarker4_5">
          <a:extLst>
            <a:ext uri="{FF2B5EF4-FFF2-40B4-BE49-F238E27FC236}">
              <a16:creationId xmlns:a16="http://schemas.microsoft.com/office/drawing/2014/main" id="{71235FC6-FE45-FB33-26DC-1E3A9D83A06E}"/>
            </a:ext>
          </a:extLst>
        </xdr:cNvPr>
        <xdr:cNvCxnSpPr/>
      </xdr:nvCxnSpPr>
      <xdr:spPr>
        <a:xfrm flipH="1">
          <a:off x="31025192" y="3085308"/>
          <a:ext cx="27235" cy="47169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115</xdr:col>
      <xdr:colOff>292615</xdr:colOff>
      <xdr:row>9</xdr:row>
      <xdr:rowOff>288160</xdr:rowOff>
    </xdr:from>
    <xdr:to>
      <xdr:col>115</xdr:col>
      <xdr:colOff>319295</xdr:colOff>
      <xdr:row>9</xdr:row>
      <xdr:rowOff>324880</xdr:rowOff>
    </xdr:to>
    <xdr:cxnSp macro="">
      <xdr:nvCxnSpPr>
        <xdr:cNvPr id="5282" name="MinuteMarker4_6">
          <a:extLst>
            <a:ext uri="{FF2B5EF4-FFF2-40B4-BE49-F238E27FC236}">
              <a16:creationId xmlns:a16="http://schemas.microsoft.com/office/drawing/2014/main" id="{5C4F61A8-33EB-0BF0-5A84-328883865F6E}"/>
            </a:ext>
          </a:extLst>
        </xdr:cNvPr>
        <xdr:cNvCxnSpPr/>
      </xdr:nvCxnSpPr>
      <xdr:spPr>
        <a:xfrm flipV="1">
          <a:off x="31105990" y="3126610"/>
          <a:ext cx="26680" cy="3672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115</xdr:col>
      <xdr:colOff>359073</xdr:colOff>
      <xdr:row>9</xdr:row>
      <xdr:rowOff>344967</xdr:rowOff>
    </xdr:from>
    <xdr:to>
      <xdr:col>116</xdr:col>
      <xdr:colOff>8446</xdr:colOff>
      <xdr:row>9</xdr:row>
      <xdr:rowOff>378697</xdr:rowOff>
    </xdr:to>
    <xdr:cxnSp macro="">
      <xdr:nvCxnSpPr>
        <xdr:cNvPr id="5283" name="MinuteMarker4_7">
          <a:extLst>
            <a:ext uri="{FF2B5EF4-FFF2-40B4-BE49-F238E27FC236}">
              <a16:creationId xmlns:a16="http://schemas.microsoft.com/office/drawing/2014/main" id="{2C30A480-53DA-16A9-5AE1-11905F08D47E}"/>
            </a:ext>
          </a:extLst>
        </xdr:cNvPr>
        <xdr:cNvCxnSpPr/>
      </xdr:nvCxnSpPr>
      <xdr:spPr>
        <a:xfrm flipV="1">
          <a:off x="31172448" y="3183417"/>
          <a:ext cx="30373" cy="3373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38543</xdr:colOff>
      <xdr:row>9</xdr:row>
      <xdr:rowOff>408796</xdr:rowOff>
    </xdr:from>
    <xdr:to>
      <xdr:col>116</xdr:col>
      <xdr:colOff>72275</xdr:colOff>
      <xdr:row>10</xdr:row>
      <xdr:rowOff>29592</xdr:rowOff>
    </xdr:to>
    <xdr:cxnSp macro="">
      <xdr:nvCxnSpPr>
        <xdr:cNvPr id="5284" name="MinuteMarker4_8">
          <a:extLst>
            <a:ext uri="{FF2B5EF4-FFF2-40B4-BE49-F238E27FC236}">
              <a16:creationId xmlns:a16="http://schemas.microsoft.com/office/drawing/2014/main" id="{81757E87-8748-ECEC-C6F0-4245EE4F0EC9}"/>
            </a:ext>
          </a:extLst>
        </xdr:cNvPr>
        <xdr:cNvCxnSpPr/>
      </xdr:nvCxnSpPr>
      <xdr:spPr>
        <a:xfrm flipV="1">
          <a:off x="31232918" y="3247246"/>
          <a:ext cx="33732" cy="3037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92360</xdr:colOff>
      <xdr:row>10</xdr:row>
      <xdr:rowOff>69371</xdr:rowOff>
    </xdr:from>
    <xdr:to>
      <xdr:col>116</xdr:col>
      <xdr:colOff>129080</xdr:colOff>
      <xdr:row>10</xdr:row>
      <xdr:rowOff>96050</xdr:rowOff>
    </xdr:to>
    <xdr:cxnSp macro="">
      <xdr:nvCxnSpPr>
        <xdr:cNvPr id="5285" name="MinuteMarker4_9">
          <a:extLst>
            <a:ext uri="{FF2B5EF4-FFF2-40B4-BE49-F238E27FC236}">
              <a16:creationId xmlns:a16="http://schemas.microsoft.com/office/drawing/2014/main" id="{714050FF-20E6-19DF-ED85-1095607CF3F1}"/>
            </a:ext>
          </a:extLst>
        </xdr:cNvPr>
        <xdr:cNvCxnSpPr/>
      </xdr:nvCxnSpPr>
      <xdr:spPr>
        <a:xfrm flipV="1">
          <a:off x="31286735" y="3317396"/>
          <a:ext cx="36720" cy="26679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123214</xdr:colOff>
      <xdr:row>10</xdr:row>
      <xdr:rowOff>149615</xdr:rowOff>
    </xdr:from>
    <xdr:to>
      <xdr:col>116</xdr:col>
      <xdr:colOff>170383</xdr:colOff>
      <xdr:row>10</xdr:row>
      <xdr:rowOff>176848</xdr:rowOff>
    </xdr:to>
    <xdr:cxnSp macro="">
      <xdr:nvCxnSpPr>
        <xdr:cNvPr id="5286" name="MinuteMarker4_10">
          <a:extLst>
            <a:ext uri="{FF2B5EF4-FFF2-40B4-BE49-F238E27FC236}">
              <a16:creationId xmlns:a16="http://schemas.microsoft.com/office/drawing/2014/main" id="{2F47DC9B-7B08-9324-F2EA-D030D3DB1D28}"/>
            </a:ext>
          </a:extLst>
        </xdr:cNvPr>
        <xdr:cNvCxnSpPr/>
      </xdr:nvCxnSpPr>
      <xdr:spPr>
        <a:xfrm flipH="1">
          <a:off x="31317589" y="3397640"/>
          <a:ext cx="47169" cy="27233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177760</xdr:colOff>
      <xdr:row>10</xdr:row>
      <xdr:rowOff>225505</xdr:rowOff>
    </xdr:from>
    <xdr:to>
      <xdr:col>116</xdr:col>
      <xdr:colOff>219224</xdr:colOff>
      <xdr:row>10</xdr:row>
      <xdr:rowOff>243966</xdr:rowOff>
    </xdr:to>
    <xdr:cxnSp macro="">
      <xdr:nvCxnSpPr>
        <xdr:cNvPr id="5287" name="MinuteMarker4_11">
          <a:extLst>
            <a:ext uri="{FF2B5EF4-FFF2-40B4-BE49-F238E27FC236}">
              <a16:creationId xmlns:a16="http://schemas.microsoft.com/office/drawing/2014/main" id="{5C2EA865-80BD-6F83-5E45-1FB8D52756CC}"/>
            </a:ext>
          </a:extLst>
        </xdr:cNvPr>
        <xdr:cNvCxnSpPr/>
      </xdr:nvCxnSpPr>
      <xdr:spPr>
        <a:xfrm flipV="1">
          <a:off x="31372135" y="3473530"/>
          <a:ext cx="41464" cy="1846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208406</xdr:colOff>
      <xdr:row>11</xdr:row>
      <xdr:rowOff>14502</xdr:rowOff>
    </xdr:from>
    <xdr:to>
      <xdr:col>116</xdr:col>
      <xdr:colOff>251572</xdr:colOff>
      <xdr:row>11</xdr:row>
      <xdr:rowOff>28528</xdr:rowOff>
    </xdr:to>
    <xdr:cxnSp macro="">
      <xdr:nvCxnSpPr>
        <xdr:cNvPr id="5288" name="MinuteMarker4_12">
          <a:extLst>
            <a:ext uri="{FF2B5EF4-FFF2-40B4-BE49-F238E27FC236}">
              <a16:creationId xmlns:a16="http://schemas.microsoft.com/office/drawing/2014/main" id="{C5114E0A-2B0B-BB3A-9A1D-560D0483E5FD}"/>
            </a:ext>
          </a:extLst>
        </xdr:cNvPr>
        <xdr:cNvCxnSpPr/>
      </xdr:nvCxnSpPr>
      <xdr:spPr>
        <a:xfrm flipV="1">
          <a:off x="31402781" y="3557802"/>
          <a:ext cx="43166" cy="14026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230541</xdr:colOff>
      <xdr:row>11</xdr:row>
      <xdr:rowOff>101693</xdr:rowOff>
    </xdr:from>
    <xdr:to>
      <xdr:col>116</xdr:col>
      <xdr:colOff>274935</xdr:colOff>
      <xdr:row>11</xdr:row>
      <xdr:rowOff>111130</xdr:rowOff>
    </xdr:to>
    <xdr:cxnSp macro="">
      <xdr:nvCxnSpPr>
        <xdr:cNvPr id="5289" name="MinuteMarker4_13">
          <a:extLst>
            <a:ext uri="{FF2B5EF4-FFF2-40B4-BE49-F238E27FC236}">
              <a16:creationId xmlns:a16="http://schemas.microsoft.com/office/drawing/2014/main" id="{E0EB8147-9C1B-27F2-B564-3525D9F45A4F}"/>
            </a:ext>
          </a:extLst>
        </xdr:cNvPr>
        <xdr:cNvCxnSpPr/>
      </xdr:nvCxnSpPr>
      <xdr:spPr>
        <a:xfrm flipV="1">
          <a:off x="31424916" y="3644993"/>
          <a:ext cx="44394" cy="943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243917</xdr:colOff>
      <xdr:row>11</xdr:row>
      <xdr:rowOff>190849</xdr:rowOff>
    </xdr:from>
    <xdr:to>
      <xdr:col>116</xdr:col>
      <xdr:colOff>289058</xdr:colOff>
      <xdr:row>11</xdr:row>
      <xdr:rowOff>195594</xdr:rowOff>
    </xdr:to>
    <xdr:cxnSp macro="">
      <xdr:nvCxnSpPr>
        <xdr:cNvPr id="5290" name="MinuteMarker4_14">
          <a:extLst>
            <a:ext uri="{FF2B5EF4-FFF2-40B4-BE49-F238E27FC236}">
              <a16:creationId xmlns:a16="http://schemas.microsoft.com/office/drawing/2014/main" id="{660E2B98-25B6-CEFD-9DEE-F7F03F501451}"/>
            </a:ext>
          </a:extLst>
        </xdr:cNvPr>
        <xdr:cNvCxnSpPr/>
      </xdr:nvCxnSpPr>
      <xdr:spPr>
        <a:xfrm flipV="1">
          <a:off x="31438292" y="3734149"/>
          <a:ext cx="45141" cy="474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230237</xdr:colOff>
      <xdr:row>11</xdr:row>
      <xdr:rowOff>280993</xdr:rowOff>
    </xdr:from>
    <xdr:to>
      <xdr:col>116</xdr:col>
      <xdr:colOff>284705</xdr:colOff>
      <xdr:row>11</xdr:row>
      <xdr:rowOff>280993</xdr:rowOff>
    </xdr:to>
    <xdr:cxnSp macro="">
      <xdr:nvCxnSpPr>
        <xdr:cNvPr id="5291" name="MinuteMarker4_15">
          <a:extLst>
            <a:ext uri="{FF2B5EF4-FFF2-40B4-BE49-F238E27FC236}">
              <a16:creationId xmlns:a16="http://schemas.microsoft.com/office/drawing/2014/main" id="{3A58C304-0E3C-E14A-484D-E63B533BFD1F}"/>
            </a:ext>
          </a:extLst>
        </xdr:cNvPr>
        <xdr:cNvCxnSpPr/>
      </xdr:nvCxnSpPr>
      <xdr:spPr>
        <a:xfrm flipH="1">
          <a:off x="31424612" y="3824293"/>
          <a:ext cx="54468" cy="0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243917</xdr:colOff>
      <xdr:row>12</xdr:row>
      <xdr:rowOff>71117</xdr:rowOff>
    </xdr:from>
    <xdr:to>
      <xdr:col>116</xdr:col>
      <xdr:colOff>289058</xdr:colOff>
      <xdr:row>12</xdr:row>
      <xdr:rowOff>75862</xdr:rowOff>
    </xdr:to>
    <xdr:cxnSp macro="">
      <xdr:nvCxnSpPr>
        <xdr:cNvPr id="5292" name="MinuteMarker4_16">
          <a:extLst>
            <a:ext uri="{FF2B5EF4-FFF2-40B4-BE49-F238E27FC236}">
              <a16:creationId xmlns:a16="http://schemas.microsoft.com/office/drawing/2014/main" id="{79B6D88C-6D79-C1CD-2FBC-669874A39596}"/>
            </a:ext>
          </a:extLst>
        </xdr:cNvPr>
        <xdr:cNvCxnSpPr/>
      </xdr:nvCxnSpPr>
      <xdr:spPr>
        <a:xfrm>
          <a:off x="31438292" y="3909692"/>
          <a:ext cx="45141" cy="474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230541</xdr:colOff>
      <xdr:row>12</xdr:row>
      <xdr:rowOff>155581</xdr:rowOff>
    </xdr:from>
    <xdr:to>
      <xdr:col>116</xdr:col>
      <xdr:colOff>274935</xdr:colOff>
      <xdr:row>12</xdr:row>
      <xdr:rowOff>165018</xdr:rowOff>
    </xdr:to>
    <xdr:cxnSp macro="">
      <xdr:nvCxnSpPr>
        <xdr:cNvPr id="5293" name="MinuteMarker4_17">
          <a:extLst>
            <a:ext uri="{FF2B5EF4-FFF2-40B4-BE49-F238E27FC236}">
              <a16:creationId xmlns:a16="http://schemas.microsoft.com/office/drawing/2014/main" id="{4FAAD004-74E6-5D60-C9D8-285C0084B8E0}"/>
            </a:ext>
          </a:extLst>
        </xdr:cNvPr>
        <xdr:cNvCxnSpPr/>
      </xdr:nvCxnSpPr>
      <xdr:spPr>
        <a:xfrm>
          <a:off x="31424916" y="3994156"/>
          <a:ext cx="44394" cy="943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208406</xdr:colOff>
      <xdr:row>12</xdr:row>
      <xdr:rowOff>238184</xdr:rowOff>
    </xdr:from>
    <xdr:to>
      <xdr:col>116</xdr:col>
      <xdr:colOff>251572</xdr:colOff>
      <xdr:row>12</xdr:row>
      <xdr:rowOff>252209</xdr:rowOff>
    </xdr:to>
    <xdr:cxnSp macro="">
      <xdr:nvCxnSpPr>
        <xdr:cNvPr id="5294" name="MinuteMarker4_18">
          <a:extLst>
            <a:ext uri="{FF2B5EF4-FFF2-40B4-BE49-F238E27FC236}">
              <a16:creationId xmlns:a16="http://schemas.microsoft.com/office/drawing/2014/main" id="{9C98AAAC-69EC-B20E-0C43-7D4ED3AE9BB7}"/>
            </a:ext>
          </a:extLst>
        </xdr:cNvPr>
        <xdr:cNvCxnSpPr/>
      </xdr:nvCxnSpPr>
      <xdr:spPr>
        <a:xfrm>
          <a:off x="31402781" y="4076759"/>
          <a:ext cx="43166" cy="1402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177760</xdr:colOff>
      <xdr:row>12</xdr:row>
      <xdr:rowOff>318020</xdr:rowOff>
    </xdr:from>
    <xdr:to>
      <xdr:col>116</xdr:col>
      <xdr:colOff>219224</xdr:colOff>
      <xdr:row>12</xdr:row>
      <xdr:rowOff>336481</xdr:rowOff>
    </xdr:to>
    <xdr:cxnSp macro="">
      <xdr:nvCxnSpPr>
        <xdr:cNvPr id="5295" name="MinuteMarker4_19">
          <a:extLst>
            <a:ext uri="{FF2B5EF4-FFF2-40B4-BE49-F238E27FC236}">
              <a16:creationId xmlns:a16="http://schemas.microsoft.com/office/drawing/2014/main" id="{7CF13D65-C928-C1E6-A6D2-3BD747ED0CF6}"/>
            </a:ext>
          </a:extLst>
        </xdr:cNvPr>
        <xdr:cNvCxnSpPr/>
      </xdr:nvCxnSpPr>
      <xdr:spPr>
        <a:xfrm>
          <a:off x="31372135" y="4156595"/>
          <a:ext cx="41464" cy="1846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123214</xdr:colOff>
      <xdr:row>12</xdr:row>
      <xdr:rowOff>385138</xdr:rowOff>
    </xdr:from>
    <xdr:to>
      <xdr:col>116</xdr:col>
      <xdr:colOff>170383</xdr:colOff>
      <xdr:row>13</xdr:row>
      <xdr:rowOff>2796</xdr:rowOff>
    </xdr:to>
    <xdr:cxnSp macro="">
      <xdr:nvCxnSpPr>
        <xdr:cNvPr id="5296" name="MinuteMarker4_20">
          <a:extLst>
            <a:ext uri="{FF2B5EF4-FFF2-40B4-BE49-F238E27FC236}">
              <a16:creationId xmlns:a16="http://schemas.microsoft.com/office/drawing/2014/main" id="{B0B30819-68C0-99CE-9D56-CB255F95D961}"/>
            </a:ext>
          </a:extLst>
        </xdr:cNvPr>
        <xdr:cNvCxnSpPr/>
      </xdr:nvCxnSpPr>
      <xdr:spPr>
        <a:xfrm flipH="1" flipV="1">
          <a:off x="31317589" y="4223713"/>
          <a:ext cx="47169" cy="27233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92360</xdr:colOff>
      <xdr:row>13</xdr:row>
      <xdr:rowOff>56361</xdr:rowOff>
    </xdr:from>
    <xdr:to>
      <xdr:col>116</xdr:col>
      <xdr:colOff>129080</xdr:colOff>
      <xdr:row>13</xdr:row>
      <xdr:rowOff>83040</xdr:rowOff>
    </xdr:to>
    <xdr:cxnSp macro="">
      <xdr:nvCxnSpPr>
        <xdr:cNvPr id="5297" name="MinuteMarker4_21">
          <a:extLst>
            <a:ext uri="{FF2B5EF4-FFF2-40B4-BE49-F238E27FC236}">
              <a16:creationId xmlns:a16="http://schemas.microsoft.com/office/drawing/2014/main" id="{8C97DACF-19DB-98A5-F464-F4A8B25AD73C}"/>
            </a:ext>
          </a:extLst>
        </xdr:cNvPr>
        <xdr:cNvCxnSpPr/>
      </xdr:nvCxnSpPr>
      <xdr:spPr>
        <a:xfrm>
          <a:off x="31286735" y="4304511"/>
          <a:ext cx="36720" cy="26679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38543</xdr:colOff>
      <xdr:row>13</xdr:row>
      <xdr:rowOff>122820</xdr:rowOff>
    </xdr:from>
    <xdr:to>
      <xdr:col>116</xdr:col>
      <xdr:colOff>72275</xdr:colOff>
      <xdr:row>13</xdr:row>
      <xdr:rowOff>153191</xdr:rowOff>
    </xdr:to>
    <xdr:cxnSp macro="">
      <xdr:nvCxnSpPr>
        <xdr:cNvPr id="5298" name="MinuteMarker4_22">
          <a:extLst>
            <a:ext uri="{FF2B5EF4-FFF2-40B4-BE49-F238E27FC236}">
              <a16:creationId xmlns:a16="http://schemas.microsoft.com/office/drawing/2014/main" id="{D8F1E8C7-9E67-B888-6F1C-6A163D105CDF}"/>
            </a:ext>
          </a:extLst>
        </xdr:cNvPr>
        <xdr:cNvCxnSpPr/>
      </xdr:nvCxnSpPr>
      <xdr:spPr>
        <a:xfrm>
          <a:off x="31232918" y="4370970"/>
          <a:ext cx="33732" cy="3037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115</xdr:col>
      <xdr:colOff>359073</xdr:colOff>
      <xdr:row>13</xdr:row>
      <xdr:rowOff>183289</xdr:rowOff>
    </xdr:from>
    <xdr:to>
      <xdr:col>116</xdr:col>
      <xdr:colOff>8446</xdr:colOff>
      <xdr:row>13</xdr:row>
      <xdr:rowOff>217019</xdr:rowOff>
    </xdr:to>
    <xdr:cxnSp macro="">
      <xdr:nvCxnSpPr>
        <xdr:cNvPr id="5299" name="MinuteMarker4_23">
          <a:extLst>
            <a:ext uri="{FF2B5EF4-FFF2-40B4-BE49-F238E27FC236}">
              <a16:creationId xmlns:a16="http://schemas.microsoft.com/office/drawing/2014/main" id="{014672B3-6D72-B7FF-7BE4-6EE7B1F62755}"/>
            </a:ext>
          </a:extLst>
        </xdr:cNvPr>
        <xdr:cNvCxnSpPr/>
      </xdr:nvCxnSpPr>
      <xdr:spPr>
        <a:xfrm>
          <a:off x="31172448" y="4431439"/>
          <a:ext cx="30373" cy="3373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115</xdr:col>
      <xdr:colOff>292615</xdr:colOff>
      <xdr:row>13</xdr:row>
      <xdr:rowOff>237106</xdr:rowOff>
    </xdr:from>
    <xdr:to>
      <xdr:col>115</xdr:col>
      <xdr:colOff>319295</xdr:colOff>
      <xdr:row>13</xdr:row>
      <xdr:rowOff>273826</xdr:rowOff>
    </xdr:to>
    <xdr:cxnSp macro="">
      <xdr:nvCxnSpPr>
        <xdr:cNvPr id="5300" name="MinuteMarker4_24">
          <a:extLst>
            <a:ext uri="{FF2B5EF4-FFF2-40B4-BE49-F238E27FC236}">
              <a16:creationId xmlns:a16="http://schemas.microsoft.com/office/drawing/2014/main" id="{BDA06458-D894-5C60-FCD9-979FE1A165A7}"/>
            </a:ext>
          </a:extLst>
        </xdr:cNvPr>
        <xdr:cNvCxnSpPr/>
      </xdr:nvCxnSpPr>
      <xdr:spPr>
        <a:xfrm>
          <a:off x="31105990" y="4485256"/>
          <a:ext cx="26680" cy="3672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115</xdr:col>
      <xdr:colOff>211817</xdr:colOff>
      <xdr:row>13</xdr:row>
      <xdr:rowOff>267958</xdr:rowOff>
    </xdr:from>
    <xdr:to>
      <xdr:col>115</xdr:col>
      <xdr:colOff>239052</xdr:colOff>
      <xdr:row>14</xdr:row>
      <xdr:rowOff>19853</xdr:rowOff>
    </xdr:to>
    <xdr:cxnSp macro="">
      <xdr:nvCxnSpPr>
        <xdr:cNvPr id="5301" name="MinuteMarker4_25">
          <a:extLst>
            <a:ext uri="{FF2B5EF4-FFF2-40B4-BE49-F238E27FC236}">
              <a16:creationId xmlns:a16="http://schemas.microsoft.com/office/drawing/2014/main" id="{06A133A7-160D-0344-D665-6507D5039905}"/>
            </a:ext>
          </a:extLst>
        </xdr:cNvPr>
        <xdr:cNvCxnSpPr/>
      </xdr:nvCxnSpPr>
      <xdr:spPr>
        <a:xfrm flipH="1" flipV="1">
          <a:off x="31025192" y="4516108"/>
          <a:ext cx="27235" cy="47170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115</xdr:col>
      <xdr:colOff>144698</xdr:colOff>
      <xdr:row>14</xdr:row>
      <xdr:rowOff>27231</xdr:rowOff>
    </xdr:from>
    <xdr:to>
      <xdr:col>115</xdr:col>
      <xdr:colOff>163162</xdr:colOff>
      <xdr:row>14</xdr:row>
      <xdr:rowOff>68695</xdr:rowOff>
    </xdr:to>
    <xdr:cxnSp macro="">
      <xdr:nvCxnSpPr>
        <xdr:cNvPr id="5302" name="MinuteMarker4_26">
          <a:extLst>
            <a:ext uri="{FF2B5EF4-FFF2-40B4-BE49-F238E27FC236}">
              <a16:creationId xmlns:a16="http://schemas.microsoft.com/office/drawing/2014/main" id="{542C286A-225F-D5F0-EF30-21A57FD55408}"/>
            </a:ext>
          </a:extLst>
        </xdr:cNvPr>
        <xdr:cNvCxnSpPr/>
      </xdr:nvCxnSpPr>
      <xdr:spPr>
        <a:xfrm>
          <a:off x="30958073" y="4570656"/>
          <a:ext cx="18464" cy="41464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115</xdr:col>
      <xdr:colOff>64864</xdr:colOff>
      <xdr:row>14</xdr:row>
      <xdr:rowOff>57877</xdr:rowOff>
    </xdr:from>
    <xdr:to>
      <xdr:col>115</xdr:col>
      <xdr:colOff>78888</xdr:colOff>
      <xdr:row>14</xdr:row>
      <xdr:rowOff>101044</xdr:rowOff>
    </xdr:to>
    <xdr:cxnSp macro="">
      <xdr:nvCxnSpPr>
        <xdr:cNvPr id="5303" name="MinuteMarker4_27">
          <a:extLst>
            <a:ext uri="{FF2B5EF4-FFF2-40B4-BE49-F238E27FC236}">
              <a16:creationId xmlns:a16="http://schemas.microsoft.com/office/drawing/2014/main" id="{F9010D11-E542-E34B-2398-343B70083E4D}"/>
            </a:ext>
          </a:extLst>
        </xdr:cNvPr>
        <xdr:cNvCxnSpPr/>
      </xdr:nvCxnSpPr>
      <xdr:spPr>
        <a:xfrm>
          <a:off x="30878239" y="4601302"/>
          <a:ext cx="14024" cy="4316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363262</xdr:colOff>
      <xdr:row>14</xdr:row>
      <xdr:rowOff>80010</xdr:rowOff>
    </xdr:from>
    <xdr:to>
      <xdr:col>114</xdr:col>
      <xdr:colOff>372697</xdr:colOff>
      <xdr:row>14</xdr:row>
      <xdr:rowOff>124407</xdr:rowOff>
    </xdr:to>
    <xdr:cxnSp macro="">
      <xdr:nvCxnSpPr>
        <xdr:cNvPr id="5304" name="MinuteMarker4_28">
          <a:extLst>
            <a:ext uri="{FF2B5EF4-FFF2-40B4-BE49-F238E27FC236}">
              <a16:creationId xmlns:a16="http://schemas.microsoft.com/office/drawing/2014/main" id="{A6DF4BCE-0E1A-D252-6B94-23D1C63F4D3D}"/>
            </a:ext>
          </a:extLst>
        </xdr:cNvPr>
        <xdr:cNvCxnSpPr/>
      </xdr:nvCxnSpPr>
      <xdr:spPr>
        <a:xfrm>
          <a:off x="30795637" y="4623435"/>
          <a:ext cx="9435" cy="4439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278795</xdr:colOff>
      <xdr:row>14</xdr:row>
      <xdr:rowOff>93388</xdr:rowOff>
    </xdr:from>
    <xdr:to>
      <xdr:col>114</xdr:col>
      <xdr:colOff>283542</xdr:colOff>
      <xdr:row>14</xdr:row>
      <xdr:rowOff>138528</xdr:rowOff>
    </xdr:to>
    <xdr:cxnSp macro="">
      <xdr:nvCxnSpPr>
        <xdr:cNvPr id="5305" name="MinuteMarker4_29">
          <a:extLst>
            <a:ext uri="{FF2B5EF4-FFF2-40B4-BE49-F238E27FC236}">
              <a16:creationId xmlns:a16="http://schemas.microsoft.com/office/drawing/2014/main" id="{41280E3E-FDAD-63AA-354C-23AC887C13A3}"/>
            </a:ext>
          </a:extLst>
        </xdr:cNvPr>
        <xdr:cNvCxnSpPr/>
      </xdr:nvCxnSpPr>
      <xdr:spPr>
        <a:xfrm>
          <a:off x="30711170" y="4636813"/>
          <a:ext cx="4747" cy="4514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193396</xdr:colOff>
      <xdr:row>14</xdr:row>
      <xdr:rowOff>79708</xdr:rowOff>
    </xdr:from>
    <xdr:to>
      <xdr:col>114</xdr:col>
      <xdr:colOff>193396</xdr:colOff>
      <xdr:row>14</xdr:row>
      <xdr:rowOff>134174</xdr:rowOff>
    </xdr:to>
    <xdr:cxnSp macro="">
      <xdr:nvCxnSpPr>
        <xdr:cNvPr id="5306" name="MinuteMarker4_30">
          <a:extLst>
            <a:ext uri="{FF2B5EF4-FFF2-40B4-BE49-F238E27FC236}">
              <a16:creationId xmlns:a16="http://schemas.microsoft.com/office/drawing/2014/main" id="{360588C9-BE64-E06A-FD5B-E5631BF00DC1}"/>
            </a:ext>
          </a:extLst>
        </xdr:cNvPr>
        <xdr:cNvCxnSpPr/>
      </xdr:nvCxnSpPr>
      <xdr:spPr>
        <a:xfrm flipV="1">
          <a:off x="30625771" y="4623133"/>
          <a:ext cx="0" cy="54466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103253</xdr:colOff>
      <xdr:row>14</xdr:row>
      <xdr:rowOff>93388</xdr:rowOff>
    </xdr:from>
    <xdr:to>
      <xdr:col>114</xdr:col>
      <xdr:colOff>108000</xdr:colOff>
      <xdr:row>14</xdr:row>
      <xdr:rowOff>138528</xdr:rowOff>
    </xdr:to>
    <xdr:cxnSp macro="">
      <xdr:nvCxnSpPr>
        <xdr:cNvPr id="5307" name="MinuteMarker4_31">
          <a:extLst>
            <a:ext uri="{FF2B5EF4-FFF2-40B4-BE49-F238E27FC236}">
              <a16:creationId xmlns:a16="http://schemas.microsoft.com/office/drawing/2014/main" id="{31350B13-92D3-BD54-7EB3-5D428D43FFBB}"/>
            </a:ext>
          </a:extLst>
        </xdr:cNvPr>
        <xdr:cNvCxnSpPr/>
      </xdr:nvCxnSpPr>
      <xdr:spPr>
        <a:xfrm flipH="1">
          <a:off x="30535628" y="4636813"/>
          <a:ext cx="4747" cy="4514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14098</xdr:colOff>
      <xdr:row>14</xdr:row>
      <xdr:rowOff>80010</xdr:rowOff>
    </xdr:from>
    <xdr:to>
      <xdr:col>114</xdr:col>
      <xdr:colOff>23533</xdr:colOff>
      <xdr:row>14</xdr:row>
      <xdr:rowOff>124407</xdr:rowOff>
    </xdr:to>
    <xdr:cxnSp macro="">
      <xdr:nvCxnSpPr>
        <xdr:cNvPr id="5308" name="MinuteMarker4_32">
          <a:extLst>
            <a:ext uri="{FF2B5EF4-FFF2-40B4-BE49-F238E27FC236}">
              <a16:creationId xmlns:a16="http://schemas.microsoft.com/office/drawing/2014/main" id="{964F436C-0B62-E99B-8406-11E773850874}"/>
            </a:ext>
          </a:extLst>
        </xdr:cNvPr>
        <xdr:cNvCxnSpPr/>
      </xdr:nvCxnSpPr>
      <xdr:spPr>
        <a:xfrm flipH="1">
          <a:off x="30446473" y="4623435"/>
          <a:ext cx="9435" cy="4439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307907</xdr:colOff>
      <xdr:row>14</xdr:row>
      <xdr:rowOff>57877</xdr:rowOff>
    </xdr:from>
    <xdr:to>
      <xdr:col>113</xdr:col>
      <xdr:colOff>321931</xdr:colOff>
      <xdr:row>14</xdr:row>
      <xdr:rowOff>101044</xdr:rowOff>
    </xdr:to>
    <xdr:cxnSp macro="">
      <xdr:nvCxnSpPr>
        <xdr:cNvPr id="5309" name="MinuteMarker4_33">
          <a:extLst>
            <a:ext uri="{FF2B5EF4-FFF2-40B4-BE49-F238E27FC236}">
              <a16:creationId xmlns:a16="http://schemas.microsoft.com/office/drawing/2014/main" id="{0910AD6E-198F-A562-80E3-88B6EA3214CA}"/>
            </a:ext>
          </a:extLst>
        </xdr:cNvPr>
        <xdr:cNvCxnSpPr/>
      </xdr:nvCxnSpPr>
      <xdr:spPr>
        <a:xfrm flipH="1">
          <a:off x="30359282" y="4601302"/>
          <a:ext cx="14024" cy="4316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223633</xdr:colOff>
      <xdr:row>14</xdr:row>
      <xdr:rowOff>27231</xdr:rowOff>
    </xdr:from>
    <xdr:to>
      <xdr:col>113</xdr:col>
      <xdr:colOff>242097</xdr:colOff>
      <xdr:row>14</xdr:row>
      <xdr:rowOff>68695</xdr:rowOff>
    </xdr:to>
    <xdr:cxnSp macro="">
      <xdr:nvCxnSpPr>
        <xdr:cNvPr id="5310" name="MinuteMarker4_34">
          <a:extLst>
            <a:ext uri="{FF2B5EF4-FFF2-40B4-BE49-F238E27FC236}">
              <a16:creationId xmlns:a16="http://schemas.microsoft.com/office/drawing/2014/main" id="{EC4AD74B-726E-97E8-AEF1-8CB2131DB71E}"/>
            </a:ext>
          </a:extLst>
        </xdr:cNvPr>
        <xdr:cNvCxnSpPr/>
      </xdr:nvCxnSpPr>
      <xdr:spPr>
        <a:xfrm flipH="1">
          <a:off x="30275008" y="4570656"/>
          <a:ext cx="18464" cy="41464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147743</xdr:colOff>
      <xdr:row>13</xdr:row>
      <xdr:rowOff>267958</xdr:rowOff>
    </xdr:from>
    <xdr:to>
      <xdr:col>113</xdr:col>
      <xdr:colOff>174978</xdr:colOff>
      <xdr:row>14</xdr:row>
      <xdr:rowOff>19853</xdr:rowOff>
    </xdr:to>
    <xdr:cxnSp macro="">
      <xdr:nvCxnSpPr>
        <xdr:cNvPr id="5311" name="MinuteMarker4_35">
          <a:extLst>
            <a:ext uri="{FF2B5EF4-FFF2-40B4-BE49-F238E27FC236}">
              <a16:creationId xmlns:a16="http://schemas.microsoft.com/office/drawing/2014/main" id="{F93F8797-53C7-5E1B-EBE2-43E01621E521}"/>
            </a:ext>
          </a:extLst>
        </xdr:cNvPr>
        <xdr:cNvCxnSpPr/>
      </xdr:nvCxnSpPr>
      <xdr:spPr>
        <a:xfrm flipV="1">
          <a:off x="30199118" y="4516108"/>
          <a:ext cx="27235" cy="47170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67500</xdr:colOff>
      <xdr:row>13</xdr:row>
      <xdr:rowOff>237106</xdr:rowOff>
    </xdr:from>
    <xdr:to>
      <xdr:col>113</xdr:col>
      <xdr:colOff>94180</xdr:colOff>
      <xdr:row>13</xdr:row>
      <xdr:rowOff>273826</xdr:rowOff>
    </xdr:to>
    <xdr:cxnSp macro="">
      <xdr:nvCxnSpPr>
        <xdr:cNvPr id="5312" name="MinuteMarker4_36">
          <a:extLst>
            <a:ext uri="{FF2B5EF4-FFF2-40B4-BE49-F238E27FC236}">
              <a16:creationId xmlns:a16="http://schemas.microsoft.com/office/drawing/2014/main" id="{784AB4DC-C54C-F282-3DE3-B0D64A8B6717}"/>
            </a:ext>
          </a:extLst>
        </xdr:cNvPr>
        <xdr:cNvCxnSpPr/>
      </xdr:nvCxnSpPr>
      <xdr:spPr>
        <a:xfrm flipH="1">
          <a:off x="30118875" y="4485256"/>
          <a:ext cx="26680" cy="3672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378349</xdr:colOff>
      <xdr:row>13</xdr:row>
      <xdr:rowOff>183289</xdr:rowOff>
    </xdr:from>
    <xdr:to>
      <xdr:col>113</xdr:col>
      <xdr:colOff>27722</xdr:colOff>
      <xdr:row>13</xdr:row>
      <xdr:rowOff>217019</xdr:rowOff>
    </xdr:to>
    <xdr:cxnSp macro="">
      <xdr:nvCxnSpPr>
        <xdr:cNvPr id="5313" name="MinuteMarker4_37">
          <a:extLst>
            <a:ext uri="{FF2B5EF4-FFF2-40B4-BE49-F238E27FC236}">
              <a16:creationId xmlns:a16="http://schemas.microsoft.com/office/drawing/2014/main" id="{A47DB212-7283-2673-F9FC-B450A0C3F800}"/>
            </a:ext>
          </a:extLst>
        </xdr:cNvPr>
        <xdr:cNvCxnSpPr/>
      </xdr:nvCxnSpPr>
      <xdr:spPr>
        <a:xfrm flipH="1">
          <a:off x="30048724" y="4431439"/>
          <a:ext cx="30373" cy="3373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314520</xdr:colOff>
      <xdr:row>13</xdr:row>
      <xdr:rowOff>122820</xdr:rowOff>
    </xdr:from>
    <xdr:to>
      <xdr:col>112</xdr:col>
      <xdr:colOff>348252</xdr:colOff>
      <xdr:row>13</xdr:row>
      <xdr:rowOff>153191</xdr:rowOff>
    </xdr:to>
    <xdr:cxnSp macro="">
      <xdr:nvCxnSpPr>
        <xdr:cNvPr id="5314" name="MinuteMarker4_38">
          <a:extLst>
            <a:ext uri="{FF2B5EF4-FFF2-40B4-BE49-F238E27FC236}">
              <a16:creationId xmlns:a16="http://schemas.microsoft.com/office/drawing/2014/main" id="{6D0C7F91-693C-BF29-D696-F005365E8E36}"/>
            </a:ext>
          </a:extLst>
        </xdr:cNvPr>
        <xdr:cNvCxnSpPr/>
      </xdr:nvCxnSpPr>
      <xdr:spPr>
        <a:xfrm flipH="1">
          <a:off x="29984895" y="4370970"/>
          <a:ext cx="33732" cy="3037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257715</xdr:colOff>
      <xdr:row>13</xdr:row>
      <xdr:rowOff>56361</xdr:rowOff>
    </xdr:from>
    <xdr:to>
      <xdr:col>112</xdr:col>
      <xdr:colOff>294435</xdr:colOff>
      <xdr:row>13</xdr:row>
      <xdr:rowOff>83040</xdr:rowOff>
    </xdr:to>
    <xdr:cxnSp macro="">
      <xdr:nvCxnSpPr>
        <xdr:cNvPr id="5315" name="MinuteMarker4_39">
          <a:extLst>
            <a:ext uri="{FF2B5EF4-FFF2-40B4-BE49-F238E27FC236}">
              <a16:creationId xmlns:a16="http://schemas.microsoft.com/office/drawing/2014/main" id="{6281AEC1-3959-5146-1744-6664BB8C17DD}"/>
            </a:ext>
          </a:extLst>
        </xdr:cNvPr>
        <xdr:cNvCxnSpPr/>
      </xdr:nvCxnSpPr>
      <xdr:spPr>
        <a:xfrm flipH="1">
          <a:off x="29928090" y="4304511"/>
          <a:ext cx="36720" cy="26679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216412</xdr:colOff>
      <xdr:row>12</xdr:row>
      <xdr:rowOff>385138</xdr:rowOff>
    </xdr:from>
    <xdr:to>
      <xdr:col>112</xdr:col>
      <xdr:colOff>263581</xdr:colOff>
      <xdr:row>13</xdr:row>
      <xdr:rowOff>2796</xdr:rowOff>
    </xdr:to>
    <xdr:cxnSp macro="">
      <xdr:nvCxnSpPr>
        <xdr:cNvPr id="5316" name="MinuteMarker4_40">
          <a:extLst>
            <a:ext uri="{FF2B5EF4-FFF2-40B4-BE49-F238E27FC236}">
              <a16:creationId xmlns:a16="http://schemas.microsoft.com/office/drawing/2014/main" id="{849385C0-8158-E30A-569A-B7BE8D908532}"/>
            </a:ext>
          </a:extLst>
        </xdr:cNvPr>
        <xdr:cNvCxnSpPr/>
      </xdr:nvCxnSpPr>
      <xdr:spPr>
        <a:xfrm flipV="1">
          <a:off x="29886787" y="4223713"/>
          <a:ext cx="47169" cy="27233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167571</xdr:colOff>
      <xdr:row>12</xdr:row>
      <xdr:rowOff>318020</xdr:rowOff>
    </xdr:from>
    <xdr:to>
      <xdr:col>112</xdr:col>
      <xdr:colOff>209035</xdr:colOff>
      <xdr:row>12</xdr:row>
      <xdr:rowOff>336481</xdr:rowOff>
    </xdr:to>
    <xdr:cxnSp macro="">
      <xdr:nvCxnSpPr>
        <xdr:cNvPr id="5317" name="MinuteMarker4_41">
          <a:extLst>
            <a:ext uri="{FF2B5EF4-FFF2-40B4-BE49-F238E27FC236}">
              <a16:creationId xmlns:a16="http://schemas.microsoft.com/office/drawing/2014/main" id="{7724AAE3-823F-4CE5-8E2E-B46AC1F746F3}"/>
            </a:ext>
          </a:extLst>
        </xdr:cNvPr>
        <xdr:cNvCxnSpPr/>
      </xdr:nvCxnSpPr>
      <xdr:spPr>
        <a:xfrm flipH="1">
          <a:off x="29837946" y="4156595"/>
          <a:ext cx="41464" cy="1846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135223</xdr:colOff>
      <xdr:row>12</xdr:row>
      <xdr:rowOff>238184</xdr:rowOff>
    </xdr:from>
    <xdr:to>
      <xdr:col>112</xdr:col>
      <xdr:colOff>178389</xdr:colOff>
      <xdr:row>12</xdr:row>
      <xdr:rowOff>252209</xdr:rowOff>
    </xdr:to>
    <xdr:cxnSp macro="">
      <xdr:nvCxnSpPr>
        <xdr:cNvPr id="5318" name="MinuteMarker4_42">
          <a:extLst>
            <a:ext uri="{FF2B5EF4-FFF2-40B4-BE49-F238E27FC236}">
              <a16:creationId xmlns:a16="http://schemas.microsoft.com/office/drawing/2014/main" id="{7EA60D34-0E75-343B-F205-D0E858DE3F68}"/>
            </a:ext>
          </a:extLst>
        </xdr:cNvPr>
        <xdr:cNvCxnSpPr/>
      </xdr:nvCxnSpPr>
      <xdr:spPr>
        <a:xfrm flipH="1">
          <a:off x="29805598" y="4076759"/>
          <a:ext cx="43166" cy="1402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111860</xdr:colOff>
      <xdr:row>12</xdr:row>
      <xdr:rowOff>155581</xdr:rowOff>
    </xdr:from>
    <xdr:to>
      <xdr:col>112</xdr:col>
      <xdr:colOff>156254</xdr:colOff>
      <xdr:row>12</xdr:row>
      <xdr:rowOff>165018</xdr:rowOff>
    </xdr:to>
    <xdr:cxnSp macro="">
      <xdr:nvCxnSpPr>
        <xdr:cNvPr id="5319" name="MinuteMarker4_43">
          <a:extLst>
            <a:ext uri="{FF2B5EF4-FFF2-40B4-BE49-F238E27FC236}">
              <a16:creationId xmlns:a16="http://schemas.microsoft.com/office/drawing/2014/main" id="{30199D38-47C0-964C-D7F9-7E6FF6B37FD9}"/>
            </a:ext>
          </a:extLst>
        </xdr:cNvPr>
        <xdr:cNvCxnSpPr/>
      </xdr:nvCxnSpPr>
      <xdr:spPr>
        <a:xfrm flipH="1">
          <a:off x="29782235" y="3994156"/>
          <a:ext cx="44394" cy="943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97737</xdr:colOff>
      <xdr:row>12</xdr:row>
      <xdr:rowOff>71117</xdr:rowOff>
    </xdr:from>
    <xdr:to>
      <xdr:col>112</xdr:col>
      <xdr:colOff>142878</xdr:colOff>
      <xdr:row>12</xdr:row>
      <xdr:rowOff>75862</xdr:rowOff>
    </xdr:to>
    <xdr:cxnSp macro="">
      <xdr:nvCxnSpPr>
        <xdr:cNvPr id="5320" name="MinuteMarker4_44">
          <a:extLst>
            <a:ext uri="{FF2B5EF4-FFF2-40B4-BE49-F238E27FC236}">
              <a16:creationId xmlns:a16="http://schemas.microsoft.com/office/drawing/2014/main" id="{CBD4FE47-4090-033D-04C4-681D13D24A6D}"/>
            </a:ext>
          </a:extLst>
        </xdr:cNvPr>
        <xdr:cNvCxnSpPr/>
      </xdr:nvCxnSpPr>
      <xdr:spPr>
        <a:xfrm flipH="1">
          <a:off x="29768112" y="3909692"/>
          <a:ext cx="45141" cy="474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102090</xdr:colOff>
      <xdr:row>11</xdr:row>
      <xdr:rowOff>280993</xdr:rowOff>
    </xdr:from>
    <xdr:to>
      <xdr:col>112</xdr:col>
      <xdr:colOff>156558</xdr:colOff>
      <xdr:row>11</xdr:row>
      <xdr:rowOff>280993</xdr:rowOff>
    </xdr:to>
    <xdr:cxnSp macro="">
      <xdr:nvCxnSpPr>
        <xdr:cNvPr id="5321" name="MinuteMarker4_45">
          <a:extLst>
            <a:ext uri="{FF2B5EF4-FFF2-40B4-BE49-F238E27FC236}">
              <a16:creationId xmlns:a16="http://schemas.microsoft.com/office/drawing/2014/main" id="{D899EF66-CA07-CEC7-0BC9-4A24905E538C}"/>
            </a:ext>
          </a:extLst>
        </xdr:cNvPr>
        <xdr:cNvCxnSpPr/>
      </xdr:nvCxnSpPr>
      <xdr:spPr>
        <a:xfrm>
          <a:off x="29772465" y="3824293"/>
          <a:ext cx="54468" cy="0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97737</xdr:colOff>
      <xdr:row>11</xdr:row>
      <xdr:rowOff>190849</xdr:rowOff>
    </xdr:from>
    <xdr:to>
      <xdr:col>112</xdr:col>
      <xdr:colOff>142878</xdr:colOff>
      <xdr:row>11</xdr:row>
      <xdr:rowOff>195594</xdr:rowOff>
    </xdr:to>
    <xdr:cxnSp macro="">
      <xdr:nvCxnSpPr>
        <xdr:cNvPr id="5322" name="MinuteMarker4_46">
          <a:extLst>
            <a:ext uri="{FF2B5EF4-FFF2-40B4-BE49-F238E27FC236}">
              <a16:creationId xmlns:a16="http://schemas.microsoft.com/office/drawing/2014/main" id="{97D5AF58-CA38-E852-4628-BF9E933A57A6}"/>
            </a:ext>
          </a:extLst>
        </xdr:cNvPr>
        <xdr:cNvCxnSpPr/>
      </xdr:nvCxnSpPr>
      <xdr:spPr>
        <a:xfrm flipH="1" flipV="1">
          <a:off x="29768112" y="3734149"/>
          <a:ext cx="45141" cy="474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111860</xdr:colOff>
      <xdr:row>11</xdr:row>
      <xdr:rowOff>101693</xdr:rowOff>
    </xdr:from>
    <xdr:to>
      <xdr:col>112</xdr:col>
      <xdr:colOff>156254</xdr:colOff>
      <xdr:row>11</xdr:row>
      <xdr:rowOff>111130</xdr:rowOff>
    </xdr:to>
    <xdr:cxnSp macro="">
      <xdr:nvCxnSpPr>
        <xdr:cNvPr id="5323" name="MinuteMarker4_47">
          <a:extLst>
            <a:ext uri="{FF2B5EF4-FFF2-40B4-BE49-F238E27FC236}">
              <a16:creationId xmlns:a16="http://schemas.microsoft.com/office/drawing/2014/main" id="{F93B4C89-3D02-B482-C8C4-7E46CEDB811F}"/>
            </a:ext>
          </a:extLst>
        </xdr:cNvPr>
        <xdr:cNvCxnSpPr/>
      </xdr:nvCxnSpPr>
      <xdr:spPr>
        <a:xfrm flipH="1" flipV="1">
          <a:off x="29782235" y="3644993"/>
          <a:ext cx="44394" cy="943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135223</xdr:colOff>
      <xdr:row>11</xdr:row>
      <xdr:rowOff>14502</xdr:rowOff>
    </xdr:from>
    <xdr:to>
      <xdr:col>112</xdr:col>
      <xdr:colOff>178389</xdr:colOff>
      <xdr:row>11</xdr:row>
      <xdr:rowOff>28528</xdr:rowOff>
    </xdr:to>
    <xdr:cxnSp macro="">
      <xdr:nvCxnSpPr>
        <xdr:cNvPr id="5324" name="MinuteMarker4_48">
          <a:extLst>
            <a:ext uri="{FF2B5EF4-FFF2-40B4-BE49-F238E27FC236}">
              <a16:creationId xmlns:a16="http://schemas.microsoft.com/office/drawing/2014/main" id="{D4ECB541-E760-F40A-565E-8CE9C71CA15C}"/>
            </a:ext>
          </a:extLst>
        </xdr:cNvPr>
        <xdr:cNvCxnSpPr/>
      </xdr:nvCxnSpPr>
      <xdr:spPr>
        <a:xfrm flipH="1" flipV="1">
          <a:off x="29805598" y="3557802"/>
          <a:ext cx="43166" cy="14026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167571</xdr:colOff>
      <xdr:row>10</xdr:row>
      <xdr:rowOff>225505</xdr:rowOff>
    </xdr:from>
    <xdr:to>
      <xdr:col>112</xdr:col>
      <xdr:colOff>209035</xdr:colOff>
      <xdr:row>10</xdr:row>
      <xdr:rowOff>243966</xdr:rowOff>
    </xdr:to>
    <xdr:cxnSp macro="">
      <xdr:nvCxnSpPr>
        <xdr:cNvPr id="5325" name="MinuteMarker4_49">
          <a:extLst>
            <a:ext uri="{FF2B5EF4-FFF2-40B4-BE49-F238E27FC236}">
              <a16:creationId xmlns:a16="http://schemas.microsoft.com/office/drawing/2014/main" id="{004341E9-0493-8824-2E73-99CF62853C1B}"/>
            </a:ext>
          </a:extLst>
        </xdr:cNvPr>
        <xdr:cNvCxnSpPr/>
      </xdr:nvCxnSpPr>
      <xdr:spPr>
        <a:xfrm flipH="1" flipV="1">
          <a:off x="29837946" y="3473530"/>
          <a:ext cx="41464" cy="1846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216412</xdr:colOff>
      <xdr:row>10</xdr:row>
      <xdr:rowOff>149615</xdr:rowOff>
    </xdr:from>
    <xdr:to>
      <xdr:col>112</xdr:col>
      <xdr:colOff>263581</xdr:colOff>
      <xdr:row>10</xdr:row>
      <xdr:rowOff>176848</xdr:rowOff>
    </xdr:to>
    <xdr:cxnSp macro="">
      <xdr:nvCxnSpPr>
        <xdr:cNvPr id="5326" name="MinuteMarker4_50">
          <a:extLst>
            <a:ext uri="{FF2B5EF4-FFF2-40B4-BE49-F238E27FC236}">
              <a16:creationId xmlns:a16="http://schemas.microsoft.com/office/drawing/2014/main" id="{90033A57-A575-FA4F-08C2-32A220D41328}"/>
            </a:ext>
          </a:extLst>
        </xdr:cNvPr>
        <xdr:cNvCxnSpPr/>
      </xdr:nvCxnSpPr>
      <xdr:spPr>
        <a:xfrm>
          <a:off x="29886787" y="3397640"/>
          <a:ext cx="47169" cy="27233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257715</xdr:colOff>
      <xdr:row>10</xdr:row>
      <xdr:rowOff>69371</xdr:rowOff>
    </xdr:from>
    <xdr:to>
      <xdr:col>112</xdr:col>
      <xdr:colOff>294435</xdr:colOff>
      <xdr:row>10</xdr:row>
      <xdr:rowOff>96050</xdr:rowOff>
    </xdr:to>
    <xdr:cxnSp macro="">
      <xdr:nvCxnSpPr>
        <xdr:cNvPr id="5327" name="MinuteMarker4_51">
          <a:extLst>
            <a:ext uri="{FF2B5EF4-FFF2-40B4-BE49-F238E27FC236}">
              <a16:creationId xmlns:a16="http://schemas.microsoft.com/office/drawing/2014/main" id="{B96A6330-CE22-2A5F-2790-F2A54B9D3EB6}"/>
            </a:ext>
          </a:extLst>
        </xdr:cNvPr>
        <xdr:cNvCxnSpPr/>
      </xdr:nvCxnSpPr>
      <xdr:spPr>
        <a:xfrm flipH="1" flipV="1">
          <a:off x="29928090" y="3317396"/>
          <a:ext cx="36720" cy="26679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314520</xdr:colOff>
      <xdr:row>9</xdr:row>
      <xdr:rowOff>408796</xdr:rowOff>
    </xdr:from>
    <xdr:to>
      <xdr:col>112</xdr:col>
      <xdr:colOff>348252</xdr:colOff>
      <xdr:row>10</xdr:row>
      <xdr:rowOff>29592</xdr:rowOff>
    </xdr:to>
    <xdr:cxnSp macro="">
      <xdr:nvCxnSpPr>
        <xdr:cNvPr id="5328" name="MinuteMarker4_52">
          <a:extLst>
            <a:ext uri="{FF2B5EF4-FFF2-40B4-BE49-F238E27FC236}">
              <a16:creationId xmlns:a16="http://schemas.microsoft.com/office/drawing/2014/main" id="{194B1E18-5790-F7AA-86D3-4F45801E3C03}"/>
            </a:ext>
          </a:extLst>
        </xdr:cNvPr>
        <xdr:cNvCxnSpPr/>
      </xdr:nvCxnSpPr>
      <xdr:spPr>
        <a:xfrm flipH="1" flipV="1">
          <a:off x="29984895" y="3247246"/>
          <a:ext cx="33732" cy="3037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378349</xdr:colOff>
      <xdr:row>9</xdr:row>
      <xdr:rowOff>344967</xdr:rowOff>
    </xdr:from>
    <xdr:to>
      <xdr:col>113</xdr:col>
      <xdr:colOff>27722</xdr:colOff>
      <xdr:row>9</xdr:row>
      <xdr:rowOff>378697</xdr:rowOff>
    </xdr:to>
    <xdr:cxnSp macro="">
      <xdr:nvCxnSpPr>
        <xdr:cNvPr id="5329" name="MinuteMarker4_53">
          <a:extLst>
            <a:ext uri="{FF2B5EF4-FFF2-40B4-BE49-F238E27FC236}">
              <a16:creationId xmlns:a16="http://schemas.microsoft.com/office/drawing/2014/main" id="{473580F5-1A2F-F922-8564-7F5C8137F0D7}"/>
            </a:ext>
          </a:extLst>
        </xdr:cNvPr>
        <xdr:cNvCxnSpPr/>
      </xdr:nvCxnSpPr>
      <xdr:spPr>
        <a:xfrm flipH="1" flipV="1">
          <a:off x="30048724" y="3183417"/>
          <a:ext cx="30373" cy="3373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67500</xdr:colOff>
      <xdr:row>9</xdr:row>
      <xdr:rowOff>288160</xdr:rowOff>
    </xdr:from>
    <xdr:to>
      <xdr:col>113</xdr:col>
      <xdr:colOff>94180</xdr:colOff>
      <xdr:row>9</xdr:row>
      <xdr:rowOff>324880</xdr:rowOff>
    </xdr:to>
    <xdr:cxnSp macro="">
      <xdr:nvCxnSpPr>
        <xdr:cNvPr id="5330" name="MinuteMarker4_54">
          <a:extLst>
            <a:ext uri="{FF2B5EF4-FFF2-40B4-BE49-F238E27FC236}">
              <a16:creationId xmlns:a16="http://schemas.microsoft.com/office/drawing/2014/main" id="{F75800FA-D6F4-9581-2268-13014161FCD9}"/>
            </a:ext>
          </a:extLst>
        </xdr:cNvPr>
        <xdr:cNvCxnSpPr/>
      </xdr:nvCxnSpPr>
      <xdr:spPr>
        <a:xfrm flipH="1" flipV="1">
          <a:off x="30118875" y="3126610"/>
          <a:ext cx="26680" cy="3672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147743</xdr:colOff>
      <xdr:row>9</xdr:row>
      <xdr:rowOff>246858</xdr:rowOff>
    </xdr:from>
    <xdr:to>
      <xdr:col>113</xdr:col>
      <xdr:colOff>174978</xdr:colOff>
      <xdr:row>9</xdr:row>
      <xdr:rowOff>294027</xdr:rowOff>
    </xdr:to>
    <xdr:cxnSp macro="">
      <xdr:nvCxnSpPr>
        <xdr:cNvPr id="5331" name="MinuteMarker4_55">
          <a:extLst>
            <a:ext uri="{FF2B5EF4-FFF2-40B4-BE49-F238E27FC236}">
              <a16:creationId xmlns:a16="http://schemas.microsoft.com/office/drawing/2014/main" id="{334A55D5-8524-29B1-3B8A-381BBE8AB53D}"/>
            </a:ext>
          </a:extLst>
        </xdr:cNvPr>
        <xdr:cNvCxnSpPr/>
      </xdr:nvCxnSpPr>
      <xdr:spPr>
        <a:xfrm>
          <a:off x="30199118" y="3085308"/>
          <a:ext cx="27235" cy="47169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223633</xdr:colOff>
      <xdr:row>9</xdr:row>
      <xdr:rowOff>198016</xdr:rowOff>
    </xdr:from>
    <xdr:to>
      <xdr:col>113</xdr:col>
      <xdr:colOff>242097</xdr:colOff>
      <xdr:row>9</xdr:row>
      <xdr:rowOff>239481</xdr:rowOff>
    </xdr:to>
    <xdr:cxnSp macro="">
      <xdr:nvCxnSpPr>
        <xdr:cNvPr id="5332" name="MinuteMarker4_56">
          <a:extLst>
            <a:ext uri="{FF2B5EF4-FFF2-40B4-BE49-F238E27FC236}">
              <a16:creationId xmlns:a16="http://schemas.microsoft.com/office/drawing/2014/main" id="{0EE97514-FA53-8F8A-3C3C-24B72998BBBF}"/>
            </a:ext>
          </a:extLst>
        </xdr:cNvPr>
        <xdr:cNvCxnSpPr/>
      </xdr:nvCxnSpPr>
      <xdr:spPr>
        <a:xfrm flipH="1" flipV="1">
          <a:off x="30275008" y="3036466"/>
          <a:ext cx="18464" cy="4146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307907</xdr:colOff>
      <xdr:row>9</xdr:row>
      <xdr:rowOff>165667</xdr:rowOff>
    </xdr:from>
    <xdr:to>
      <xdr:col>113</xdr:col>
      <xdr:colOff>321931</xdr:colOff>
      <xdr:row>9</xdr:row>
      <xdr:rowOff>208834</xdr:rowOff>
    </xdr:to>
    <xdr:cxnSp macro="">
      <xdr:nvCxnSpPr>
        <xdr:cNvPr id="5333" name="MinuteMarker4_57">
          <a:extLst>
            <a:ext uri="{FF2B5EF4-FFF2-40B4-BE49-F238E27FC236}">
              <a16:creationId xmlns:a16="http://schemas.microsoft.com/office/drawing/2014/main" id="{4BC15B42-7FF9-FA7D-AD8C-730204F523E2}"/>
            </a:ext>
          </a:extLst>
        </xdr:cNvPr>
        <xdr:cNvCxnSpPr/>
      </xdr:nvCxnSpPr>
      <xdr:spPr>
        <a:xfrm flipH="1" flipV="1">
          <a:off x="30359282" y="3004117"/>
          <a:ext cx="14024" cy="4316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14098</xdr:colOff>
      <xdr:row>9</xdr:row>
      <xdr:rowOff>142304</xdr:rowOff>
    </xdr:from>
    <xdr:to>
      <xdr:col>114</xdr:col>
      <xdr:colOff>23533</xdr:colOff>
      <xdr:row>9</xdr:row>
      <xdr:rowOff>186701</xdr:rowOff>
    </xdr:to>
    <xdr:cxnSp macro="">
      <xdr:nvCxnSpPr>
        <xdr:cNvPr id="5334" name="MinuteMarker4_58">
          <a:extLst>
            <a:ext uri="{FF2B5EF4-FFF2-40B4-BE49-F238E27FC236}">
              <a16:creationId xmlns:a16="http://schemas.microsoft.com/office/drawing/2014/main" id="{7DC986BE-79C9-685A-4657-F13A90BA0861}"/>
            </a:ext>
          </a:extLst>
        </xdr:cNvPr>
        <xdr:cNvCxnSpPr/>
      </xdr:nvCxnSpPr>
      <xdr:spPr>
        <a:xfrm flipH="1" flipV="1">
          <a:off x="30446473" y="2980754"/>
          <a:ext cx="9435" cy="4439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103253</xdr:colOff>
      <xdr:row>9</xdr:row>
      <xdr:rowOff>128183</xdr:rowOff>
    </xdr:from>
    <xdr:to>
      <xdr:col>114</xdr:col>
      <xdr:colOff>108000</xdr:colOff>
      <xdr:row>9</xdr:row>
      <xdr:rowOff>173323</xdr:rowOff>
    </xdr:to>
    <xdr:cxnSp macro="">
      <xdr:nvCxnSpPr>
        <xdr:cNvPr id="5335" name="MinuteMarker4_59">
          <a:extLst>
            <a:ext uri="{FF2B5EF4-FFF2-40B4-BE49-F238E27FC236}">
              <a16:creationId xmlns:a16="http://schemas.microsoft.com/office/drawing/2014/main" id="{2FD8F3FF-1455-8209-3E1E-B4DC18170010}"/>
            </a:ext>
          </a:extLst>
        </xdr:cNvPr>
        <xdr:cNvCxnSpPr/>
      </xdr:nvCxnSpPr>
      <xdr:spPr>
        <a:xfrm flipH="1" flipV="1">
          <a:off x="30535628" y="2966633"/>
          <a:ext cx="4747" cy="4514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183871</xdr:colOff>
      <xdr:row>9</xdr:row>
      <xdr:rowOff>132548</xdr:rowOff>
    </xdr:from>
    <xdr:to>
      <xdr:col>119</xdr:col>
      <xdr:colOff>183871</xdr:colOff>
      <xdr:row>9</xdr:row>
      <xdr:rowOff>187014</xdr:rowOff>
    </xdr:to>
    <xdr:cxnSp macro="">
      <xdr:nvCxnSpPr>
        <xdr:cNvPr id="5338" name="MinuteMarker5_0">
          <a:extLst>
            <a:ext uri="{FF2B5EF4-FFF2-40B4-BE49-F238E27FC236}">
              <a16:creationId xmlns:a16="http://schemas.microsoft.com/office/drawing/2014/main" id="{C85C63DA-E8BF-1704-7E13-B64D64068590}"/>
            </a:ext>
          </a:extLst>
        </xdr:cNvPr>
        <xdr:cNvCxnSpPr/>
      </xdr:nvCxnSpPr>
      <xdr:spPr>
        <a:xfrm>
          <a:off x="32521246" y="2970998"/>
          <a:ext cx="0" cy="54466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269270</xdr:colOff>
      <xdr:row>9</xdr:row>
      <xdr:rowOff>128195</xdr:rowOff>
    </xdr:from>
    <xdr:to>
      <xdr:col>119</xdr:col>
      <xdr:colOff>274017</xdr:colOff>
      <xdr:row>9</xdr:row>
      <xdr:rowOff>173334</xdr:rowOff>
    </xdr:to>
    <xdr:cxnSp macro="">
      <xdr:nvCxnSpPr>
        <xdr:cNvPr id="5339" name="MinuteMarker5_1">
          <a:extLst>
            <a:ext uri="{FF2B5EF4-FFF2-40B4-BE49-F238E27FC236}">
              <a16:creationId xmlns:a16="http://schemas.microsoft.com/office/drawing/2014/main" id="{DB8B638E-F94F-D73B-42C3-B6C5807707A4}"/>
            </a:ext>
          </a:extLst>
        </xdr:cNvPr>
        <xdr:cNvCxnSpPr/>
      </xdr:nvCxnSpPr>
      <xdr:spPr>
        <a:xfrm flipV="1">
          <a:off x="32606645" y="2966645"/>
          <a:ext cx="4747" cy="45139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353737</xdr:colOff>
      <xdr:row>9</xdr:row>
      <xdr:rowOff>142315</xdr:rowOff>
    </xdr:from>
    <xdr:to>
      <xdr:col>119</xdr:col>
      <xdr:colOff>363172</xdr:colOff>
      <xdr:row>9</xdr:row>
      <xdr:rowOff>186712</xdr:rowOff>
    </xdr:to>
    <xdr:cxnSp macro="">
      <xdr:nvCxnSpPr>
        <xdr:cNvPr id="5340" name="MinuteMarker5_2">
          <a:extLst>
            <a:ext uri="{FF2B5EF4-FFF2-40B4-BE49-F238E27FC236}">
              <a16:creationId xmlns:a16="http://schemas.microsoft.com/office/drawing/2014/main" id="{06B4469B-B9FB-FEC4-541D-AE25F4CF609A}"/>
            </a:ext>
          </a:extLst>
        </xdr:cNvPr>
        <xdr:cNvCxnSpPr/>
      </xdr:nvCxnSpPr>
      <xdr:spPr>
        <a:xfrm flipV="1">
          <a:off x="32691112" y="2980765"/>
          <a:ext cx="9435" cy="4439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120</xdr:col>
      <xdr:colOff>55339</xdr:colOff>
      <xdr:row>9</xdr:row>
      <xdr:rowOff>165678</xdr:rowOff>
    </xdr:from>
    <xdr:to>
      <xdr:col>120</xdr:col>
      <xdr:colOff>69363</xdr:colOff>
      <xdr:row>9</xdr:row>
      <xdr:rowOff>208845</xdr:rowOff>
    </xdr:to>
    <xdr:cxnSp macro="">
      <xdr:nvCxnSpPr>
        <xdr:cNvPr id="5341" name="MinuteMarker5_3">
          <a:extLst>
            <a:ext uri="{FF2B5EF4-FFF2-40B4-BE49-F238E27FC236}">
              <a16:creationId xmlns:a16="http://schemas.microsoft.com/office/drawing/2014/main" id="{8F43F5BD-388E-16E0-4FA2-61D1C25ADC79}"/>
            </a:ext>
          </a:extLst>
        </xdr:cNvPr>
        <xdr:cNvCxnSpPr/>
      </xdr:nvCxnSpPr>
      <xdr:spPr>
        <a:xfrm flipV="1">
          <a:off x="32773714" y="3004128"/>
          <a:ext cx="14024" cy="4316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120</xdr:col>
      <xdr:colOff>135173</xdr:colOff>
      <xdr:row>9</xdr:row>
      <xdr:rowOff>198027</xdr:rowOff>
    </xdr:from>
    <xdr:to>
      <xdr:col>120</xdr:col>
      <xdr:colOff>153637</xdr:colOff>
      <xdr:row>9</xdr:row>
      <xdr:rowOff>239492</xdr:rowOff>
    </xdr:to>
    <xdr:cxnSp macro="">
      <xdr:nvCxnSpPr>
        <xdr:cNvPr id="5342" name="MinuteMarker5_4">
          <a:extLst>
            <a:ext uri="{FF2B5EF4-FFF2-40B4-BE49-F238E27FC236}">
              <a16:creationId xmlns:a16="http://schemas.microsoft.com/office/drawing/2014/main" id="{A701F012-4CA5-445D-37AA-2BA7F423EB69}"/>
            </a:ext>
          </a:extLst>
        </xdr:cNvPr>
        <xdr:cNvCxnSpPr/>
      </xdr:nvCxnSpPr>
      <xdr:spPr>
        <a:xfrm flipV="1">
          <a:off x="32853548" y="3036477"/>
          <a:ext cx="18464" cy="4146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120</xdr:col>
      <xdr:colOff>202292</xdr:colOff>
      <xdr:row>9</xdr:row>
      <xdr:rowOff>246869</xdr:rowOff>
    </xdr:from>
    <xdr:to>
      <xdr:col>120</xdr:col>
      <xdr:colOff>229527</xdr:colOff>
      <xdr:row>9</xdr:row>
      <xdr:rowOff>294038</xdr:rowOff>
    </xdr:to>
    <xdr:cxnSp macro="">
      <xdr:nvCxnSpPr>
        <xdr:cNvPr id="5343" name="MinuteMarker5_5">
          <a:extLst>
            <a:ext uri="{FF2B5EF4-FFF2-40B4-BE49-F238E27FC236}">
              <a16:creationId xmlns:a16="http://schemas.microsoft.com/office/drawing/2014/main" id="{544D2C78-DED8-2423-09D0-F49B80B58699}"/>
            </a:ext>
          </a:extLst>
        </xdr:cNvPr>
        <xdr:cNvCxnSpPr/>
      </xdr:nvCxnSpPr>
      <xdr:spPr>
        <a:xfrm flipH="1">
          <a:off x="32920667" y="3085319"/>
          <a:ext cx="27235" cy="47169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120</xdr:col>
      <xdr:colOff>283090</xdr:colOff>
      <xdr:row>9</xdr:row>
      <xdr:rowOff>288171</xdr:rowOff>
    </xdr:from>
    <xdr:to>
      <xdr:col>120</xdr:col>
      <xdr:colOff>309770</xdr:colOff>
      <xdr:row>9</xdr:row>
      <xdr:rowOff>324891</xdr:rowOff>
    </xdr:to>
    <xdr:cxnSp macro="">
      <xdr:nvCxnSpPr>
        <xdr:cNvPr id="5344" name="MinuteMarker5_6">
          <a:extLst>
            <a:ext uri="{FF2B5EF4-FFF2-40B4-BE49-F238E27FC236}">
              <a16:creationId xmlns:a16="http://schemas.microsoft.com/office/drawing/2014/main" id="{54728277-7386-CAA9-AB86-99E2B822925E}"/>
            </a:ext>
          </a:extLst>
        </xdr:cNvPr>
        <xdr:cNvCxnSpPr/>
      </xdr:nvCxnSpPr>
      <xdr:spPr>
        <a:xfrm flipV="1">
          <a:off x="33001465" y="3126621"/>
          <a:ext cx="26680" cy="3672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120</xdr:col>
      <xdr:colOff>349548</xdr:colOff>
      <xdr:row>9</xdr:row>
      <xdr:rowOff>344978</xdr:rowOff>
    </xdr:from>
    <xdr:to>
      <xdr:col>120</xdr:col>
      <xdr:colOff>379921</xdr:colOff>
      <xdr:row>9</xdr:row>
      <xdr:rowOff>378708</xdr:rowOff>
    </xdr:to>
    <xdr:cxnSp macro="">
      <xdr:nvCxnSpPr>
        <xdr:cNvPr id="5345" name="MinuteMarker5_7">
          <a:extLst>
            <a:ext uri="{FF2B5EF4-FFF2-40B4-BE49-F238E27FC236}">
              <a16:creationId xmlns:a16="http://schemas.microsoft.com/office/drawing/2014/main" id="{2C21B212-3A9C-2728-7BF3-33B6E17C7ADF}"/>
            </a:ext>
          </a:extLst>
        </xdr:cNvPr>
        <xdr:cNvCxnSpPr/>
      </xdr:nvCxnSpPr>
      <xdr:spPr>
        <a:xfrm flipV="1">
          <a:off x="33067923" y="3183428"/>
          <a:ext cx="30373" cy="3373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29018</xdr:colOff>
      <xdr:row>9</xdr:row>
      <xdr:rowOff>408807</xdr:rowOff>
    </xdr:from>
    <xdr:to>
      <xdr:col>121</xdr:col>
      <xdr:colOff>62750</xdr:colOff>
      <xdr:row>10</xdr:row>
      <xdr:rowOff>29602</xdr:rowOff>
    </xdr:to>
    <xdr:cxnSp macro="">
      <xdr:nvCxnSpPr>
        <xdr:cNvPr id="5346" name="MinuteMarker5_8">
          <a:extLst>
            <a:ext uri="{FF2B5EF4-FFF2-40B4-BE49-F238E27FC236}">
              <a16:creationId xmlns:a16="http://schemas.microsoft.com/office/drawing/2014/main" id="{CE6C7EC0-7CEB-4D0A-D802-911CB5880381}"/>
            </a:ext>
          </a:extLst>
        </xdr:cNvPr>
        <xdr:cNvCxnSpPr/>
      </xdr:nvCxnSpPr>
      <xdr:spPr>
        <a:xfrm flipV="1">
          <a:off x="33128393" y="3247257"/>
          <a:ext cx="33732" cy="3037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82835</xdr:colOff>
      <xdr:row>10</xdr:row>
      <xdr:rowOff>69383</xdr:rowOff>
    </xdr:from>
    <xdr:to>
      <xdr:col>121</xdr:col>
      <xdr:colOff>119555</xdr:colOff>
      <xdr:row>10</xdr:row>
      <xdr:rowOff>96061</xdr:rowOff>
    </xdr:to>
    <xdr:cxnSp macro="">
      <xdr:nvCxnSpPr>
        <xdr:cNvPr id="5347" name="MinuteMarker5_9">
          <a:extLst>
            <a:ext uri="{FF2B5EF4-FFF2-40B4-BE49-F238E27FC236}">
              <a16:creationId xmlns:a16="http://schemas.microsoft.com/office/drawing/2014/main" id="{6C087678-9AE7-980D-33E1-38C534A24450}"/>
            </a:ext>
          </a:extLst>
        </xdr:cNvPr>
        <xdr:cNvCxnSpPr/>
      </xdr:nvCxnSpPr>
      <xdr:spPr>
        <a:xfrm flipV="1">
          <a:off x="33182210" y="3317408"/>
          <a:ext cx="36720" cy="26678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113689</xdr:colOff>
      <xdr:row>10</xdr:row>
      <xdr:rowOff>149626</xdr:rowOff>
    </xdr:from>
    <xdr:to>
      <xdr:col>121</xdr:col>
      <xdr:colOff>160858</xdr:colOff>
      <xdr:row>10</xdr:row>
      <xdr:rowOff>176859</xdr:rowOff>
    </xdr:to>
    <xdr:cxnSp macro="">
      <xdr:nvCxnSpPr>
        <xdr:cNvPr id="5348" name="MinuteMarker5_10">
          <a:extLst>
            <a:ext uri="{FF2B5EF4-FFF2-40B4-BE49-F238E27FC236}">
              <a16:creationId xmlns:a16="http://schemas.microsoft.com/office/drawing/2014/main" id="{810E5CD3-77C5-5106-9C47-D7474FCE4E94}"/>
            </a:ext>
          </a:extLst>
        </xdr:cNvPr>
        <xdr:cNvCxnSpPr/>
      </xdr:nvCxnSpPr>
      <xdr:spPr>
        <a:xfrm flipH="1">
          <a:off x="33213064" y="3397651"/>
          <a:ext cx="47169" cy="27233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168235</xdr:colOff>
      <xdr:row>10</xdr:row>
      <xdr:rowOff>225516</xdr:rowOff>
    </xdr:from>
    <xdr:to>
      <xdr:col>121</xdr:col>
      <xdr:colOff>209699</xdr:colOff>
      <xdr:row>10</xdr:row>
      <xdr:rowOff>243977</xdr:rowOff>
    </xdr:to>
    <xdr:cxnSp macro="">
      <xdr:nvCxnSpPr>
        <xdr:cNvPr id="5349" name="MinuteMarker5_11">
          <a:extLst>
            <a:ext uri="{FF2B5EF4-FFF2-40B4-BE49-F238E27FC236}">
              <a16:creationId xmlns:a16="http://schemas.microsoft.com/office/drawing/2014/main" id="{7D5B28FB-E756-BEE9-38A7-A01B15D5EA46}"/>
            </a:ext>
          </a:extLst>
        </xdr:cNvPr>
        <xdr:cNvCxnSpPr/>
      </xdr:nvCxnSpPr>
      <xdr:spPr>
        <a:xfrm flipV="1">
          <a:off x="33267610" y="3473541"/>
          <a:ext cx="41464" cy="1846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198881</xdr:colOff>
      <xdr:row>11</xdr:row>
      <xdr:rowOff>14513</xdr:rowOff>
    </xdr:from>
    <xdr:to>
      <xdr:col>121</xdr:col>
      <xdr:colOff>242047</xdr:colOff>
      <xdr:row>11</xdr:row>
      <xdr:rowOff>28539</xdr:rowOff>
    </xdr:to>
    <xdr:cxnSp macro="">
      <xdr:nvCxnSpPr>
        <xdr:cNvPr id="5350" name="MinuteMarker5_12">
          <a:extLst>
            <a:ext uri="{FF2B5EF4-FFF2-40B4-BE49-F238E27FC236}">
              <a16:creationId xmlns:a16="http://schemas.microsoft.com/office/drawing/2014/main" id="{8D0096E4-608C-C702-34AE-A9C8017821B7}"/>
            </a:ext>
          </a:extLst>
        </xdr:cNvPr>
        <xdr:cNvCxnSpPr/>
      </xdr:nvCxnSpPr>
      <xdr:spPr>
        <a:xfrm flipV="1">
          <a:off x="33298256" y="3557813"/>
          <a:ext cx="43166" cy="14026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221016</xdr:colOff>
      <xdr:row>11</xdr:row>
      <xdr:rowOff>101704</xdr:rowOff>
    </xdr:from>
    <xdr:to>
      <xdr:col>121</xdr:col>
      <xdr:colOff>265410</xdr:colOff>
      <xdr:row>11</xdr:row>
      <xdr:rowOff>111141</xdr:rowOff>
    </xdr:to>
    <xdr:cxnSp macro="">
      <xdr:nvCxnSpPr>
        <xdr:cNvPr id="5351" name="MinuteMarker5_13">
          <a:extLst>
            <a:ext uri="{FF2B5EF4-FFF2-40B4-BE49-F238E27FC236}">
              <a16:creationId xmlns:a16="http://schemas.microsoft.com/office/drawing/2014/main" id="{B93A75F3-5F83-34CD-61AB-147CA9C45CEC}"/>
            </a:ext>
          </a:extLst>
        </xdr:cNvPr>
        <xdr:cNvCxnSpPr/>
      </xdr:nvCxnSpPr>
      <xdr:spPr>
        <a:xfrm flipV="1">
          <a:off x="33320391" y="3645004"/>
          <a:ext cx="44394" cy="943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234392</xdr:colOff>
      <xdr:row>11</xdr:row>
      <xdr:rowOff>190860</xdr:rowOff>
    </xdr:from>
    <xdr:to>
      <xdr:col>121</xdr:col>
      <xdr:colOff>279533</xdr:colOff>
      <xdr:row>11</xdr:row>
      <xdr:rowOff>195605</xdr:rowOff>
    </xdr:to>
    <xdr:cxnSp macro="">
      <xdr:nvCxnSpPr>
        <xdr:cNvPr id="5352" name="MinuteMarker5_14">
          <a:extLst>
            <a:ext uri="{FF2B5EF4-FFF2-40B4-BE49-F238E27FC236}">
              <a16:creationId xmlns:a16="http://schemas.microsoft.com/office/drawing/2014/main" id="{8EEDDCEC-DB3E-F2E3-8999-ABBB649EC1BA}"/>
            </a:ext>
          </a:extLst>
        </xdr:cNvPr>
        <xdr:cNvCxnSpPr/>
      </xdr:nvCxnSpPr>
      <xdr:spPr>
        <a:xfrm flipV="1">
          <a:off x="33333767" y="3734160"/>
          <a:ext cx="45141" cy="474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220712</xdr:colOff>
      <xdr:row>11</xdr:row>
      <xdr:rowOff>281004</xdr:rowOff>
    </xdr:from>
    <xdr:to>
      <xdr:col>121</xdr:col>
      <xdr:colOff>275180</xdr:colOff>
      <xdr:row>11</xdr:row>
      <xdr:rowOff>281004</xdr:rowOff>
    </xdr:to>
    <xdr:cxnSp macro="">
      <xdr:nvCxnSpPr>
        <xdr:cNvPr id="5353" name="MinuteMarker5_15">
          <a:extLst>
            <a:ext uri="{FF2B5EF4-FFF2-40B4-BE49-F238E27FC236}">
              <a16:creationId xmlns:a16="http://schemas.microsoft.com/office/drawing/2014/main" id="{D8DD4AEE-0EA6-E2A2-59CD-B02FA243654C}"/>
            </a:ext>
          </a:extLst>
        </xdr:cNvPr>
        <xdr:cNvCxnSpPr/>
      </xdr:nvCxnSpPr>
      <xdr:spPr>
        <a:xfrm flipH="1">
          <a:off x="33320087" y="3824304"/>
          <a:ext cx="54468" cy="0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234392</xdr:colOff>
      <xdr:row>12</xdr:row>
      <xdr:rowOff>71128</xdr:rowOff>
    </xdr:from>
    <xdr:to>
      <xdr:col>121</xdr:col>
      <xdr:colOff>279533</xdr:colOff>
      <xdr:row>12</xdr:row>
      <xdr:rowOff>75873</xdr:rowOff>
    </xdr:to>
    <xdr:cxnSp macro="">
      <xdr:nvCxnSpPr>
        <xdr:cNvPr id="5354" name="MinuteMarker5_16">
          <a:extLst>
            <a:ext uri="{FF2B5EF4-FFF2-40B4-BE49-F238E27FC236}">
              <a16:creationId xmlns:a16="http://schemas.microsoft.com/office/drawing/2014/main" id="{2F2DA803-7E6D-3983-1803-7316EFC54AE9}"/>
            </a:ext>
          </a:extLst>
        </xdr:cNvPr>
        <xdr:cNvCxnSpPr/>
      </xdr:nvCxnSpPr>
      <xdr:spPr>
        <a:xfrm>
          <a:off x="33333767" y="3909703"/>
          <a:ext cx="45141" cy="474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221016</xdr:colOff>
      <xdr:row>12</xdr:row>
      <xdr:rowOff>155592</xdr:rowOff>
    </xdr:from>
    <xdr:to>
      <xdr:col>121</xdr:col>
      <xdr:colOff>265410</xdr:colOff>
      <xdr:row>12</xdr:row>
      <xdr:rowOff>165029</xdr:rowOff>
    </xdr:to>
    <xdr:cxnSp macro="">
      <xdr:nvCxnSpPr>
        <xdr:cNvPr id="5355" name="MinuteMarker5_17">
          <a:extLst>
            <a:ext uri="{FF2B5EF4-FFF2-40B4-BE49-F238E27FC236}">
              <a16:creationId xmlns:a16="http://schemas.microsoft.com/office/drawing/2014/main" id="{F82D045B-544C-E24D-9ADF-A44CBDE8A3F5}"/>
            </a:ext>
          </a:extLst>
        </xdr:cNvPr>
        <xdr:cNvCxnSpPr/>
      </xdr:nvCxnSpPr>
      <xdr:spPr>
        <a:xfrm>
          <a:off x="33320391" y="3994167"/>
          <a:ext cx="44394" cy="943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198881</xdr:colOff>
      <xdr:row>12</xdr:row>
      <xdr:rowOff>238194</xdr:rowOff>
    </xdr:from>
    <xdr:to>
      <xdr:col>121</xdr:col>
      <xdr:colOff>242047</xdr:colOff>
      <xdr:row>12</xdr:row>
      <xdr:rowOff>252220</xdr:rowOff>
    </xdr:to>
    <xdr:cxnSp macro="">
      <xdr:nvCxnSpPr>
        <xdr:cNvPr id="5356" name="MinuteMarker5_18">
          <a:extLst>
            <a:ext uri="{FF2B5EF4-FFF2-40B4-BE49-F238E27FC236}">
              <a16:creationId xmlns:a16="http://schemas.microsoft.com/office/drawing/2014/main" id="{E2A92B22-3AE4-7686-254F-77FA5781F5F7}"/>
            </a:ext>
          </a:extLst>
        </xdr:cNvPr>
        <xdr:cNvCxnSpPr/>
      </xdr:nvCxnSpPr>
      <xdr:spPr>
        <a:xfrm>
          <a:off x="33298256" y="4076769"/>
          <a:ext cx="43166" cy="14026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168235</xdr:colOff>
      <xdr:row>12</xdr:row>
      <xdr:rowOff>318031</xdr:rowOff>
    </xdr:from>
    <xdr:to>
      <xdr:col>121</xdr:col>
      <xdr:colOff>209699</xdr:colOff>
      <xdr:row>12</xdr:row>
      <xdr:rowOff>336492</xdr:rowOff>
    </xdr:to>
    <xdr:cxnSp macro="">
      <xdr:nvCxnSpPr>
        <xdr:cNvPr id="5357" name="MinuteMarker5_19">
          <a:extLst>
            <a:ext uri="{FF2B5EF4-FFF2-40B4-BE49-F238E27FC236}">
              <a16:creationId xmlns:a16="http://schemas.microsoft.com/office/drawing/2014/main" id="{F036A22B-6C16-D4EA-B1E6-7B4F3E2E507D}"/>
            </a:ext>
          </a:extLst>
        </xdr:cNvPr>
        <xdr:cNvCxnSpPr/>
      </xdr:nvCxnSpPr>
      <xdr:spPr>
        <a:xfrm>
          <a:off x="33267610" y="4156606"/>
          <a:ext cx="41464" cy="1846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113689</xdr:colOff>
      <xdr:row>12</xdr:row>
      <xdr:rowOff>385149</xdr:rowOff>
    </xdr:from>
    <xdr:to>
      <xdr:col>121</xdr:col>
      <xdr:colOff>160858</xdr:colOff>
      <xdr:row>13</xdr:row>
      <xdr:rowOff>2807</xdr:rowOff>
    </xdr:to>
    <xdr:cxnSp macro="">
      <xdr:nvCxnSpPr>
        <xdr:cNvPr id="5358" name="MinuteMarker5_20">
          <a:extLst>
            <a:ext uri="{FF2B5EF4-FFF2-40B4-BE49-F238E27FC236}">
              <a16:creationId xmlns:a16="http://schemas.microsoft.com/office/drawing/2014/main" id="{3AF44A66-6485-F6BE-A9B1-086BDCA2DCA0}"/>
            </a:ext>
          </a:extLst>
        </xdr:cNvPr>
        <xdr:cNvCxnSpPr/>
      </xdr:nvCxnSpPr>
      <xdr:spPr>
        <a:xfrm flipH="1" flipV="1">
          <a:off x="33213064" y="4223724"/>
          <a:ext cx="47169" cy="27233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82835</xdr:colOff>
      <xdr:row>13</xdr:row>
      <xdr:rowOff>56372</xdr:rowOff>
    </xdr:from>
    <xdr:to>
      <xdr:col>121</xdr:col>
      <xdr:colOff>119555</xdr:colOff>
      <xdr:row>13</xdr:row>
      <xdr:rowOff>83051</xdr:rowOff>
    </xdr:to>
    <xdr:cxnSp macro="">
      <xdr:nvCxnSpPr>
        <xdr:cNvPr id="5359" name="MinuteMarker5_21">
          <a:extLst>
            <a:ext uri="{FF2B5EF4-FFF2-40B4-BE49-F238E27FC236}">
              <a16:creationId xmlns:a16="http://schemas.microsoft.com/office/drawing/2014/main" id="{3C333ED5-78F4-8D12-0152-473FA6993E7A}"/>
            </a:ext>
          </a:extLst>
        </xdr:cNvPr>
        <xdr:cNvCxnSpPr/>
      </xdr:nvCxnSpPr>
      <xdr:spPr>
        <a:xfrm>
          <a:off x="33182210" y="4304522"/>
          <a:ext cx="36720" cy="26679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29018</xdr:colOff>
      <xdr:row>13</xdr:row>
      <xdr:rowOff>122830</xdr:rowOff>
    </xdr:from>
    <xdr:to>
      <xdr:col>121</xdr:col>
      <xdr:colOff>62750</xdr:colOff>
      <xdr:row>13</xdr:row>
      <xdr:rowOff>153202</xdr:rowOff>
    </xdr:to>
    <xdr:cxnSp macro="">
      <xdr:nvCxnSpPr>
        <xdr:cNvPr id="5360" name="MinuteMarker5_22">
          <a:extLst>
            <a:ext uri="{FF2B5EF4-FFF2-40B4-BE49-F238E27FC236}">
              <a16:creationId xmlns:a16="http://schemas.microsoft.com/office/drawing/2014/main" id="{E508B808-F94E-D4D1-2885-1BC831C95810}"/>
            </a:ext>
          </a:extLst>
        </xdr:cNvPr>
        <xdr:cNvCxnSpPr/>
      </xdr:nvCxnSpPr>
      <xdr:spPr>
        <a:xfrm>
          <a:off x="33128393" y="4370980"/>
          <a:ext cx="33732" cy="30372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120</xdr:col>
      <xdr:colOff>349548</xdr:colOff>
      <xdr:row>13</xdr:row>
      <xdr:rowOff>183300</xdr:rowOff>
    </xdr:from>
    <xdr:to>
      <xdr:col>120</xdr:col>
      <xdr:colOff>379921</xdr:colOff>
      <xdr:row>13</xdr:row>
      <xdr:rowOff>217030</xdr:rowOff>
    </xdr:to>
    <xdr:cxnSp macro="">
      <xdr:nvCxnSpPr>
        <xdr:cNvPr id="5361" name="MinuteMarker5_23">
          <a:extLst>
            <a:ext uri="{FF2B5EF4-FFF2-40B4-BE49-F238E27FC236}">
              <a16:creationId xmlns:a16="http://schemas.microsoft.com/office/drawing/2014/main" id="{51742E64-D15C-81E7-EA61-12E325BD9B86}"/>
            </a:ext>
          </a:extLst>
        </xdr:cNvPr>
        <xdr:cNvCxnSpPr/>
      </xdr:nvCxnSpPr>
      <xdr:spPr>
        <a:xfrm>
          <a:off x="33067923" y="4431450"/>
          <a:ext cx="30373" cy="3373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120</xdr:col>
      <xdr:colOff>283090</xdr:colOff>
      <xdr:row>13</xdr:row>
      <xdr:rowOff>237117</xdr:rowOff>
    </xdr:from>
    <xdr:to>
      <xdr:col>120</xdr:col>
      <xdr:colOff>309770</xdr:colOff>
      <xdr:row>13</xdr:row>
      <xdr:rowOff>273837</xdr:rowOff>
    </xdr:to>
    <xdr:cxnSp macro="">
      <xdr:nvCxnSpPr>
        <xdr:cNvPr id="5362" name="MinuteMarker5_24">
          <a:extLst>
            <a:ext uri="{FF2B5EF4-FFF2-40B4-BE49-F238E27FC236}">
              <a16:creationId xmlns:a16="http://schemas.microsoft.com/office/drawing/2014/main" id="{3C9309B2-1654-9F3F-51F1-7A581C598A81}"/>
            </a:ext>
          </a:extLst>
        </xdr:cNvPr>
        <xdr:cNvCxnSpPr/>
      </xdr:nvCxnSpPr>
      <xdr:spPr>
        <a:xfrm>
          <a:off x="33001465" y="4485267"/>
          <a:ext cx="26680" cy="3672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120</xdr:col>
      <xdr:colOff>202292</xdr:colOff>
      <xdr:row>13</xdr:row>
      <xdr:rowOff>267970</xdr:rowOff>
    </xdr:from>
    <xdr:to>
      <xdr:col>120</xdr:col>
      <xdr:colOff>229527</xdr:colOff>
      <xdr:row>14</xdr:row>
      <xdr:rowOff>19864</xdr:rowOff>
    </xdr:to>
    <xdr:cxnSp macro="">
      <xdr:nvCxnSpPr>
        <xdr:cNvPr id="5363" name="MinuteMarker5_25">
          <a:extLst>
            <a:ext uri="{FF2B5EF4-FFF2-40B4-BE49-F238E27FC236}">
              <a16:creationId xmlns:a16="http://schemas.microsoft.com/office/drawing/2014/main" id="{1628FDBD-6B3E-F2CC-0066-D66218EA0901}"/>
            </a:ext>
          </a:extLst>
        </xdr:cNvPr>
        <xdr:cNvCxnSpPr/>
      </xdr:nvCxnSpPr>
      <xdr:spPr>
        <a:xfrm flipH="1" flipV="1">
          <a:off x="32920667" y="4516120"/>
          <a:ext cx="27235" cy="47169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120</xdr:col>
      <xdr:colOff>135173</xdr:colOff>
      <xdr:row>14</xdr:row>
      <xdr:rowOff>27241</xdr:rowOff>
    </xdr:from>
    <xdr:to>
      <xdr:col>120</xdr:col>
      <xdr:colOff>153637</xdr:colOff>
      <xdr:row>14</xdr:row>
      <xdr:rowOff>68706</xdr:rowOff>
    </xdr:to>
    <xdr:cxnSp macro="">
      <xdr:nvCxnSpPr>
        <xdr:cNvPr id="5364" name="MinuteMarker5_26">
          <a:extLst>
            <a:ext uri="{FF2B5EF4-FFF2-40B4-BE49-F238E27FC236}">
              <a16:creationId xmlns:a16="http://schemas.microsoft.com/office/drawing/2014/main" id="{39FEECF9-7E21-55B7-5C65-E296448064B2}"/>
            </a:ext>
          </a:extLst>
        </xdr:cNvPr>
        <xdr:cNvCxnSpPr/>
      </xdr:nvCxnSpPr>
      <xdr:spPr>
        <a:xfrm>
          <a:off x="32853548" y="4570666"/>
          <a:ext cx="18464" cy="4146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120</xdr:col>
      <xdr:colOff>55339</xdr:colOff>
      <xdr:row>14</xdr:row>
      <xdr:rowOff>57888</xdr:rowOff>
    </xdr:from>
    <xdr:to>
      <xdr:col>120</xdr:col>
      <xdr:colOff>69363</xdr:colOff>
      <xdr:row>14</xdr:row>
      <xdr:rowOff>101055</xdr:rowOff>
    </xdr:to>
    <xdr:cxnSp macro="">
      <xdr:nvCxnSpPr>
        <xdr:cNvPr id="5365" name="MinuteMarker5_27">
          <a:extLst>
            <a:ext uri="{FF2B5EF4-FFF2-40B4-BE49-F238E27FC236}">
              <a16:creationId xmlns:a16="http://schemas.microsoft.com/office/drawing/2014/main" id="{BA4900C8-E0EC-8C36-84F3-531F5F3309B2}"/>
            </a:ext>
          </a:extLst>
        </xdr:cNvPr>
        <xdr:cNvCxnSpPr/>
      </xdr:nvCxnSpPr>
      <xdr:spPr>
        <a:xfrm>
          <a:off x="32773714" y="4601313"/>
          <a:ext cx="14024" cy="4316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353737</xdr:colOff>
      <xdr:row>14</xdr:row>
      <xdr:rowOff>80021</xdr:rowOff>
    </xdr:from>
    <xdr:to>
      <xdr:col>119</xdr:col>
      <xdr:colOff>363172</xdr:colOff>
      <xdr:row>14</xdr:row>
      <xdr:rowOff>124418</xdr:rowOff>
    </xdr:to>
    <xdr:cxnSp macro="">
      <xdr:nvCxnSpPr>
        <xdr:cNvPr id="5366" name="MinuteMarker5_28">
          <a:extLst>
            <a:ext uri="{FF2B5EF4-FFF2-40B4-BE49-F238E27FC236}">
              <a16:creationId xmlns:a16="http://schemas.microsoft.com/office/drawing/2014/main" id="{6AB8040F-BB8B-ED0D-EF08-61466D8E0928}"/>
            </a:ext>
          </a:extLst>
        </xdr:cNvPr>
        <xdr:cNvCxnSpPr/>
      </xdr:nvCxnSpPr>
      <xdr:spPr>
        <a:xfrm>
          <a:off x="32691112" y="4623446"/>
          <a:ext cx="9435" cy="4439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269270</xdr:colOff>
      <xdr:row>14</xdr:row>
      <xdr:rowOff>93399</xdr:rowOff>
    </xdr:from>
    <xdr:to>
      <xdr:col>119</xdr:col>
      <xdr:colOff>274017</xdr:colOff>
      <xdr:row>14</xdr:row>
      <xdr:rowOff>138539</xdr:rowOff>
    </xdr:to>
    <xdr:cxnSp macro="">
      <xdr:nvCxnSpPr>
        <xdr:cNvPr id="5367" name="MinuteMarker5_29">
          <a:extLst>
            <a:ext uri="{FF2B5EF4-FFF2-40B4-BE49-F238E27FC236}">
              <a16:creationId xmlns:a16="http://schemas.microsoft.com/office/drawing/2014/main" id="{94040824-B16A-C426-C155-78D1EAA7E56D}"/>
            </a:ext>
          </a:extLst>
        </xdr:cNvPr>
        <xdr:cNvCxnSpPr/>
      </xdr:nvCxnSpPr>
      <xdr:spPr>
        <a:xfrm>
          <a:off x="32606645" y="4636824"/>
          <a:ext cx="4747" cy="4514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183871</xdr:colOff>
      <xdr:row>14</xdr:row>
      <xdr:rowOff>79719</xdr:rowOff>
    </xdr:from>
    <xdr:to>
      <xdr:col>119</xdr:col>
      <xdr:colOff>183871</xdr:colOff>
      <xdr:row>14</xdr:row>
      <xdr:rowOff>134185</xdr:rowOff>
    </xdr:to>
    <xdr:cxnSp macro="">
      <xdr:nvCxnSpPr>
        <xdr:cNvPr id="5368" name="MinuteMarker5_30">
          <a:extLst>
            <a:ext uri="{FF2B5EF4-FFF2-40B4-BE49-F238E27FC236}">
              <a16:creationId xmlns:a16="http://schemas.microsoft.com/office/drawing/2014/main" id="{F82C3AE4-81FD-50D4-49D8-3EEFCDE626E1}"/>
            </a:ext>
          </a:extLst>
        </xdr:cNvPr>
        <xdr:cNvCxnSpPr/>
      </xdr:nvCxnSpPr>
      <xdr:spPr>
        <a:xfrm flipV="1">
          <a:off x="32521246" y="4623144"/>
          <a:ext cx="0" cy="54466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93728</xdr:colOff>
      <xdr:row>14</xdr:row>
      <xdr:rowOff>93399</xdr:rowOff>
    </xdr:from>
    <xdr:to>
      <xdr:col>119</xdr:col>
      <xdr:colOff>98475</xdr:colOff>
      <xdr:row>14</xdr:row>
      <xdr:rowOff>138539</xdr:rowOff>
    </xdr:to>
    <xdr:cxnSp macro="">
      <xdr:nvCxnSpPr>
        <xdr:cNvPr id="5369" name="MinuteMarker5_31">
          <a:extLst>
            <a:ext uri="{FF2B5EF4-FFF2-40B4-BE49-F238E27FC236}">
              <a16:creationId xmlns:a16="http://schemas.microsoft.com/office/drawing/2014/main" id="{09321143-DD51-27AC-F7DE-7E978DB4B85B}"/>
            </a:ext>
          </a:extLst>
        </xdr:cNvPr>
        <xdr:cNvCxnSpPr/>
      </xdr:nvCxnSpPr>
      <xdr:spPr>
        <a:xfrm flipH="1">
          <a:off x="32431103" y="4636824"/>
          <a:ext cx="4747" cy="4514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4573</xdr:colOff>
      <xdr:row>14</xdr:row>
      <xdr:rowOff>80021</xdr:rowOff>
    </xdr:from>
    <xdr:to>
      <xdr:col>119</xdr:col>
      <xdr:colOff>14008</xdr:colOff>
      <xdr:row>14</xdr:row>
      <xdr:rowOff>124418</xdr:rowOff>
    </xdr:to>
    <xdr:cxnSp macro="">
      <xdr:nvCxnSpPr>
        <xdr:cNvPr id="5370" name="MinuteMarker5_32">
          <a:extLst>
            <a:ext uri="{FF2B5EF4-FFF2-40B4-BE49-F238E27FC236}">
              <a16:creationId xmlns:a16="http://schemas.microsoft.com/office/drawing/2014/main" id="{E0B378D9-7861-52E0-A158-F986EED609CD}"/>
            </a:ext>
          </a:extLst>
        </xdr:cNvPr>
        <xdr:cNvCxnSpPr/>
      </xdr:nvCxnSpPr>
      <xdr:spPr>
        <a:xfrm flipH="1">
          <a:off x="32341948" y="4623446"/>
          <a:ext cx="9435" cy="4439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118</xdr:col>
      <xdr:colOff>298382</xdr:colOff>
      <xdr:row>14</xdr:row>
      <xdr:rowOff>57888</xdr:rowOff>
    </xdr:from>
    <xdr:to>
      <xdr:col>118</xdr:col>
      <xdr:colOff>312406</xdr:colOff>
      <xdr:row>14</xdr:row>
      <xdr:rowOff>101055</xdr:rowOff>
    </xdr:to>
    <xdr:cxnSp macro="">
      <xdr:nvCxnSpPr>
        <xdr:cNvPr id="5371" name="MinuteMarker5_33">
          <a:extLst>
            <a:ext uri="{FF2B5EF4-FFF2-40B4-BE49-F238E27FC236}">
              <a16:creationId xmlns:a16="http://schemas.microsoft.com/office/drawing/2014/main" id="{6B2A9E05-B178-672B-003A-CFFA3155E6C5}"/>
            </a:ext>
          </a:extLst>
        </xdr:cNvPr>
        <xdr:cNvCxnSpPr/>
      </xdr:nvCxnSpPr>
      <xdr:spPr>
        <a:xfrm flipH="1">
          <a:off x="32254757" y="4601313"/>
          <a:ext cx="14024" cy="4316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118</xdr:col>
      <xdr:colOff>214108</xdr:colOff>
      <xdr:row>14</xdr:row>
      <xdr:rowOff>27241</xdr:rowOff>
    </xdr:from>
    <xdr:to>
      <xdr:col>118</xdr:col>
      <xdr:colOff>232572</xdr:colOff>
      <xdr:row>14</xdr:row>
      <xdr:rowOff>68706</xdr:rowOff>
    </xdr:to>
    <xdr:cxnSp macro="">
      <xdr:nvCxnSpPr>
        <xdr:cNvPr id="5372" name="MinuteMarker5_34">
          <a:extLst>
            <a:ext uri="{FF2B5EF4-FFF2-40B4-BE49-F238E27FC236}">
              <a16:creationId xmlns:a16="http://schemas.microsoft.com/office/drawing/2014/main" id="{E44D6182-DC61-A276-0FD3-102CC6E74BB6}"/>
            </a:ext>
          </a:extLst>
        </xdr:cNvPr>
        <xdr:cNvCxnSpPr/>
      </xdr:nvCxnSpPr>
      <xdr:spPr>
        <a:xfrm flipH="1">
          <a:off x="32170483" y="4570666"/>
          <a:ext cx="18464" cy="4146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118</xdr:col>
      <xdr:colOff>138218</xdr:colOff>
      <xdr:row>13</xdr:row>
      <xdr:rowOff>267970</xdr:rowOff>
    </xdr:from>
    <xdr:to>
      <xdr:col>118</xdr:col>
      <xdr:colOff>165453</xdr:colOff>
      <xdr:row>14</xdr:row>
      <xdr:rowOff>19864</xdr:rowOff>
    </xdr:to>
    <xdr:cxnSp macro="">
      <xdr:nvCxnSpPr>
        <xdr:cNvPr id="5373" name="MinuteMarker5_35">
          <a:extLst>
            <a:ext uri="{FF2B5EF4-FFF2-40B4-BE49-F238E27FC236}">
              <a16:creationId xmlns:a16="http://schemas.microsoft.com/office/drawing/2014/main" id="{0BE5014C-EC28-FFB8-5688-1796B27030B9}"/>
            </a:ext>
          </a:extLst>
        </xdr:cNvPr>
        <xdr:cNvCxnSpPr/>
      </xdr:nvCxnSpPr>
      <xdr:spPr>
        <a:xfrm flipV="1">
          <a:off x="32094593" y="4516120"/>
          <a:ext cx="27235" cy="47169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118</xdr:col>
      <xdr:colOff>57975</xdr:colOff>
      <xdr:row>13</xdr:row>
      <xdr:rowOff>237117</xdr:rowOff>
    </xdr:from>
    <xdr:to>
      <xdr:col>118</xdr:col>
      <xdr:colOff>84655</xdr:colOff>
      <xdr:row>13</xdr:row>
      <xdr:rowOff>273837</xdr:rowOff>
    </xdr:to>
    <xdr:cxnSp macro="">
      <xdr:nvCxnSpPr>
        <xdr:cNvPr id="5374" name="MinuteMarker5_36">
          <a:extLst>
            <a:ext uri="{FF2B5EF4-FFF2-40B4-BE49-F238E27FC236}">
              <a16:creationId xmlns:a16="http://schemas.microsoft.com/office/drawing/2014/main" id="{DF926B33-D21E-0997-1699-A4B52D562A35}"/>
            </a:ext>
          </a:extLst>
        </xdr:cNvPr>
        <xdr:cNvCxnSpPr/>
      </xdr:nvCxnSpPr>
      <xdr:spPr>
        <a:xfrm flipH="1">
          <a:off x="32014350" y="4485267"/>
          <a:ext cx="26680" cy="3672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368824</xdr:colOff>
      <xdr:row>13</xdr:row>
      <xdr:rowOff>183300</xdr:rowOff>
    </xdr:from>
    <xdr:to>
      <xdr:col>118</xdr:col>
      <xdr:colOff>18197</xdr:colOff>
      <xdr:row>13</xdr:row>
      <xdr:rowOff>217030</xdr:rowOff>
    </xdr:to>
    <xdr:cxnSp macro="">
      <xdr:nvCxnSpPr>
        <xdr:cNvPr id="5375" name="MinuteMarker5_37">
          <a:extLst>
            <a:ext uri="{FF2B5EF4-FFF2-40B4-BE49-F238E27FC236}">
              <a16:creationId xmlns:a16="http://schemas.microsoft.com/office/drawing/2014/main" id="{113F95CA-7D95-200F-962A-1B356DC93FD6}"/>
            </a:ext>
          </a:extLst>
        </xdr:cNvPr>
        <xdr:cNvCxnSpPr/>
      </xdr:nvCxnSpPr>
      <xdr:spPr>
        <a:xfrm flipH="1">
          <a:off x="31944199" y="4431450"/>
          <a:ext cx="30373" cy="3373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304995</xdr:colOff>
      <xdr:row>13</xdr:row>
      <xdr:rowOff>122830</xdr:rowOff>
    </xdr:from>
    <xdr:to>
      <xdr:col>117</xdr:col>
      <xdr:colOff>338727</xdr:colOff>
      <xdr:row>13</xdr:row>
      <xdr:rowOff>153202</xdr:rowOff>
    </xdr:to>
    <xdr:cxnSp macro="">
      <xdr:nvCxnSpPr>
        <xdr:cNvPr id="5376" name="MinuteMarker5_38">
          <a:extLst>
            <a:ext uri="{FF2B5EF4-FFF2-40B4-BE49-F238E27FC236}">
              <a16:creationId xmlns:a16="http://schemas.microsoft.com/office/drawing/2014/main" id="{535E41D8-2A8D-A5C8-85FD-86580BEA8669}"/>
            </a:ext>
          </a:extLst>
        </xdr:cNvPr>
        <xdr:cNvCxnSpPr/>
      </xdr:nvCxnSpPr>
      <xdr:spPr>
        <a:xfrm flipH="1">
          <a:off x="31880370" y="4370980"/>
          <a:ext cx="33732" cy="30372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248190</xdr:colOff>
      <xdr:row>13</xdr:row>
      <xdr:rowOff>56372</xdr:rowOff>
    </xdr:from>
    <xdr:to>
      <xdr:col>117</xdr:col>
      <xdr:colOff>284910</xdr:colOff>
      <xdr:row>13</xdr:row>
      <xdr:rowOff>83051</xdr:rowOff>
    </xdr:to>
    <xdr:cxnSp macro="">
      <xdr:nvCxnSpPr>
        <xdr:cNvPr id="5377" name="MinuteMarker5_39">
          <a:extLst>
            <a:ext uri="{FF2B5EF4-FFF2-40B4-BE49-F238E27FC236}">
              <a16:creationId xmlns:a16="http://schemas.microsoft.com/office/drawing/2014/main" id="{FDF0A62F-246B-0480-8C6D-9D99FD053D4C}"/>
            </a:ext>
          </a:extLst>
        </xdr:cNvPr>
        <xdr:cNvCxnSpPr/>
      </xdr:nvCxnSpPr>
      <xdr:spPr>
        <a:xfrm flipH="1">
          <a:off x="31823565" y="4304522"/>
          <a:ext cx="36720" cy="26679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206887</xdr:colOff>
      <xdr:row>12</xdr:row>
      <xdr:rowOff>385149</xdr:rowOff>
    </xdr:from>
    <xdr:to>
      <xdr:col>117</xdr:col>
      <xdr:colOff>254056</xdr:colOff>
      <xdr:row>13</xdr:row>
      <xdr:rowOff>2807</xdr:rowOff>
    </xdr:to>
    <xdr:cxnSp macro="">
      <xdr:nvCxnSpPr>
        <xdr:cNvPr id="5378" name="MinuteMarker5_40">
          <a:extLst>
            <a:ext uri="{FF2B5EF4-FFF2-40B4-BE49-F238E27FC236}">
              <a16:creationId xmlns:a16="http://schemas.microsoft.com/office/drawing/2014/main" id="{B80A8C4B-3C87-CEF7-A38F-138C8AC7EBD3}"/>
            </a:ext>
          </a:extLst>
        </xdr:cNvPr>
        <xdr:cNvCxnSpPr/>
      </xdr:nvCxnSpPr>
      <xdr:spPr>
        <a:xfrm flipV="1">
          <a:off x="31782262" y="4223724"/>
          <a:ext cx="47169" cy="27233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158046</xdr:colOff>
      <xdr:row>12</xdr:row>
      <xdr:rowOff>318031</xdr:rowOff>
    </xdr:from>
    <xdr:to>
      <xdr:col>117</xdr:col>
      <xdr:colOff>199510</xdr:colOff>
      <xdr:row>12</xdr:row>
      <xdr:rowOff>336492</xdr:rowOff>
    </xdr:to>
    <xdr:cxnSp macro="">
      <xdr:nvCxnSpPr>
        <xdr:cNvPr id="5379" name="MinuteMarker5_41">
          <a:extLst>
            <a:ext uri="{FF2B5EF4-FFF2-40B4-BE49-F238E27FC236}">
              <a16:creationId xmlns:a16="http://schemas.microsoft.com/office/drawing/2014/main" id="{CD14B3A9-231B-2AEA-5035-A285CD5F84CC}"/>
            </a:ext>
          </a:extLst>
        </xdr:cNvPr>
        <xdr:cNvCxnSpPr/>
      </xdr:nvCxnSpPr>
      <xdr:spPr>
        <a:xfrm flipH="1">
          <a:off x="31733421" y="4156606"/>
          <a:ext cx="41464" cy="1846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125698</xdr:colOff>
      <xdr:row>12</xdr:row>
      <xdr:rowOff>238194</xdr:rowOff>
    </xdr:from>
    <xdr:to>
      <xdr:col>117</xdr:col>
      <xdr:colOff>168864</xdr:colOff>
      <xdr:row>12</xdr:row>
      <xdr:rowOff>252220</xdr:rowOff>
    </xdr:to>
    <xdr:cxnSp macro="">
      <xdr:nvCxnSpPr>
        <xdr:cNvPr id="5380" name="MinuteMarker5_42">
          <a:extLst>
            <a:ext uri="{FF2B5EF4-FFF2-40B4-BE49-F238E27FC236}">
              <a16:creationId xmlns:a16="http://schemas.microsoft.com/office/drawing/2014/main" id="{EB60FB3F-7F58-1688-A16A-FBB819E81D5D}"/>
            </a:ext>
          </a:extLst>
        </xdr:cNvPr>
        <xdr:cNvCxnSpPr/>
      </xdr:nvCxnSpPr>
      <xdr:spPr>
        <a:xfrm flipH="1">
          <a:off x="31701073" y="4076769"/>
          <a:ext cx="43166" cy="14026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102335</xdr:colOff>
      <xdr:row>12</xdr:row>
      <xdr:rowOff>155592</xdr:rowOff>
    </xdr:from>
    <xdr:to>
      <xdr:col>117</xdr:col>
      <xdr:colOff>146729</xdr:colOff>
      <xdr:row>12</xdr:row>
      <xdr:rowOff>165029</xdr:rowOff>
    </xdr:to>
    <xdr:cxnSp macro="">
      <xdr:nvCxnSpPr>
        <xdr:cNvPr id="5381" name="MinuteMarker5_43">
          <a:extLst>
            <a:ext uri="{FF2B5EF4-FFF2-40B4-BE49-F238E27FC236}">
              <a16:creationId xmlns:a16="http://schemas.microsoft.com/office/drawing/2014/main" id="{7E728779-C77F-4D53-9086-D9626C3D3613}"/>
            </a:ext>
          </a:extLst>
        </xdr:cNvPr>
        <xdr:cNvCxnSpPr/>
      </xdr:nvCxnSpPr>
      <xdr:spPr>
        <a:xfrm flipH="1">
          <a:off x="31677710" y="3994167"/>
          <a:ext cx="44394" cy="943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88212</xdr:colOff>
      <xdr:row>12</xdr:row>
      <xdr:rowOff>71128</xdr:rowOff>
    </xdr:from>
    <xdr:to>
      <xdr:col>117</xdr:col>
      <xdr:colOff>133353</xdr:colOff>
      <xdr:row>12</xdr:row>
      <xdr:rowOff>75873</xdr:rowOff>
    </xdr:to>
    <xdr:cxnSp macro="">
      <xdr:nvCxnSpPr>
        <xdr:cNvPr id="5382" name="MinuteMarker5_44">
          <a:extLst>
            <a:ext uri="{FF2B5EF4-FFF2-40B4-BE49-F238E27FC236}">
              <a16:creationId xmlns:a16="http://schemas.microsoft.com/office/drawing/2014/main" id="{00B5A90C-A741-B4B2-D9FF-F66828410D59}"/>
            </a:ext>
          </a:extLst>
        </xdr:cNvPr>
        <xdr:cNvCxnSpPr/>
      </xdr:nvCxnSpPr>
      <xdr:spPr>
        <a:xfrm flipH="1">
          <a:off x="31663587" y="3909703"/>
          <a:ext cx="45141" cy="474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92565</xdr:colOff>
      <xdr:row>11</xdr:row>
      <xdr:rowOff>281004</xdr:rowOff>
    </xdr:from>
    <xdr:to>
      <xdr:col>117</xdr:col>
      <xdr:colOff>147033</xdr:colOff>
      <xdr:row>11</xdr:row>
      <xdr:rowOff>281004</xdr:rowOff>
    </xdr:to>
    <xdr:cxnSp macro="">
      <xdr:nvCxnSpPr>
        <xdr:cNvPr id="5383" name="MinuteMarker5_45">
          <a:extLst>
            <a:ext uri="{FF2B5EF4-FFF2-40B4-BE49-F238E27FC236}">
              <a16:creationId xmlns:a16="http://schemas.microsoft.com/office/drawing/2014/main" id="{A88664BA-9BB8-955B-ADA6-461F82A86431}"/>
            </a:ext>
          </a:extLst>
        </xdr:cNvPr>
        <xdr:cNvCxnSpPr/>
      </xdr:nvCxnSpPr>
      <xdr:spPr>
        <a:xfrm>
          <a:off x="31667940" y="3824304"/>
          <a:ext cx="54468" cy="0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88212</xdr:colOff>
      <xdr:row>11</xdr:row>
      <xdr:rowOff>190860</xdr:rowOff>
    </xdr:from>
    <xdr:to>
      <xdr:col>117</xdr:col>
      <xdr:colOff>133353</xdr:colOff>
      <xdr:row>11</xdr:row>
      <xdr:rowOff>195605</xdr:rowOff>
    </xdr:to>
    <xdr:cxnSp macro="">
      <xdr:nvCxnSpPr>
        <xdr:cNvPr id="5384" name="MinuteMarker5_46">
          <a:extLst>
            <a:ext uri="{FF2B5EF4-FFF2-40B4-BE49-F238E27FC236}">
              <a16:creationId xmlns:a16="http://schemas.microsoft.com/office/drawing/2014/main" id="{225C48E3-7BE2-B008-8282-EB4365F0F65C}"/>
            </a:ext>
          </a:extLst>
        </xdr:cNvPr>
        <xdr:cNvCxnSpPr/>
      </xdr:nvCxnSpPr>
      <xdr:spPr>
        <a:xfrm flipH="1" flipV="1">
          <a:off x="31663587" y="3734160"/>
          <a:ext cx="45141" cy="474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102335</xdr:colOff>
      <xdr:row>11</xdr:row>
      <xdr:rowOff>101704</xdr:rowOff>
    </xdr:from>
    <xdr:to>
      <xdr:col>117</xdr:col>
      <xdr:colOff>146729</xdr:colOff>
      <xdr:row>11</xdr:row>
      <xdr:rowOff>111141</xdr:rowOff>
    </xdr:to>
    <xdr:cxnSp macro="">
      <xdr:nvCxnSpPr>
        <xdr:cNvPr id="5385" name="MinuteMarker5_47">
          <a:extLst>
            <a:ext uri="{FF2B5EF4-FFF2-40B4-BE49-F238E27FC236}">
              <a16:creationId xmlns:a16="http://schemas.microsoft.com/office/drawing/2014/main" id="{2682064D-DBE6-BA52-73FB-493233687D45}"/>
            </a:ext>
          </a:extLst>
        </xdr:cNvPr>
        <xdr:cNvCxnSpPr/>
      </xdr:nvCxnSpPr>
      <xdr:spPr>
        <a:xfrm flipH="1" flipV="1">
          <a:off x="31677710" y="3645004"/>
          <a:ext cx="44394" cy="943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125698</xdr:colOff>
      <xdr:row>11</xdr:row>
      <xdr:rowOff>14513</xdr:rowOff>
    </xdr:from>
    <xdr:to>
      <xdr:col>117</xdr:col>
      <xdr:colOff>168864</xdr:colOff>
      <xdr:row>11</xdr:row>
      <xdr:rowOff>28539</xdr:rowOff>
    </xdr:to>
    <xdr:cxnSp macro="">
      <xdr:nvCxnSpPr>
        <xdr:cNvPr id="5386" name="MinuteMarker5_48">
          <a:extLst>
            <a:ext uri="{FF2B5EF4-FFF2-40B4-BE49-F238E27FC236}">
              <a16:creationId xmlns:a16="http://schemas.microsoft.com/office/drawing/2014/main" id="{5AB83E8C-5179-0064-B4E6-250BA83C2CBE}"/>
            </a:ext>
          </a:extLst>
        </xdr:cNvPr>
        <xdr:cNvCxnSpPr/>
      </xdr:nvCxnSpPr>
      <xdr:spPr>
        <a:xfrm flipH="1" flipV="1">
          <a:off x="31701073" y="3557813"/>
          <a:ext cx="43166" cy="14026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158046</xdr:colOff>
      <xdr:row>10</xdr:row>
      <xdr:rowOff>225516</xdr:rowOff>
    </xdr:from>
    <xdr:to>
      <xdr:col>117</xdr:col>
      <xdr:colOff>199510</xdr:colOff>
      <xdr:row>10</xdr:row>
      <xdr:rowOff>243977</xdr:rowOff>
    </xdr:to>
    <xdr:cxnSp macro="">
      <xdr:nvCxnSpPr>
        <xdr:cNvPr id="5387" name="MinuteMarker5_49">
          <a:extLst>
            <a:ext uri="{FF2B5EF4-FFF2-40B4-BE49-F238E27FC236}">
              <a16:creationId xmlns:a16="http://schemas.microsoft.com/office/drawing/2014/main" id="{3B805B69-AA83-3E0C-AA1B-123EC1B26F54}"/>
            </a:ext>
          </a:extLst>
        </xdr:cNvPr>
        <xdr:cNvCxnSpPr/>
      </xdr:nvCxnSpPr>
      <xdr:spPr>
        <a:xfrm flipH="1" flipV="1">
          <a:off x="31733421" y="3473541"/>
          <a:ext cx="41464" cy="1846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206887</xdr:colOff>
      <xdr:row>10</xdr:row>
      <xdr:rowOff>149626</xdr:rowOff>
    </xdr:from>
    <xdr:to>
      <xdr:col>117</xdr:col>
      <xdr:colOff>254056</xdr:colOff>
      <xdr:row>10</xdr:row>
      <xdr:rowOff>176859</xdr:rowOff>
    </xdr:to>
    <xdr:cxnSp macro="">
      <xdr:nvCxnSpPr>
        <xdr:cNvPr id="5388" name="MinuteMarker5_50">
          <a:extLst>
            <a:ext uri="{FF2B5EF4-FFF2-40B4-BE49-F238E27FC236}">
              <a16:creationId xmlns:a16="http://schemas.microsoft.com/office/drawing/2014/main" id="{16B95389-AF82-AC66-DFD4-8F5F2B166728}"/>
            </a:ext>
          </a:extLst>
        </xdr:cNvPr>
        <xdr:cNvCxnSpPr/>
      </xdr:nvCxnSpPr>
      <xdr:spPr>
        <a:xfrm>
          <a:off x="31782262" y="3397651"/>
          <a:ext cx="47169" cy="27233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248190</xdr:colOff>
      <xdr:row>10</xdr:row>
      <xdr:rowOff>69383</xdr:rowOff>
    </xdr:from>
    <xdr:to>
      <xdr:col>117</xdr:col>
      <xdr:colOff>284910</xdr:colOff>
      <xdr:row>10</xdr:row>
      <xdr:rowOff>96061</xdr:rowOff>
    </xdr:to>
    <xdr:cxnSp macro="">
      <xdr:nvCxnSpPr>
        <xdr:cNvPr id="5389" name="MinuteMarker5_51">
          <a:extLst>
            <a:ext uri="{FF2B5EF4-FFF2-40B4-BE49-F238E27FC236}">
              <a16:creationId xmlns:a16="http://schemas.microsoft.com/office/drawing/2014/main" id="{37CE460E-43F4-D02D-08AE-5C539C9813F3}"/>
            </a:ext>
          </a:extLst>
        </xdr:cNvPr>
        <xdr:cNvCxnSpPr/>
      </xdr:nvCxnSpPr>
      <xdr:spPr>
        <a:xfrm flipH="1" flipV="1">
          <a:off x="31823565" y="3317408"/>
          <a:ext cx="36720" cy="26678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304995</xdr:colOff>
      <xdr:row>9</xdr:row>
      <xdr:rowOff>408807</xdr:rowOff>
    </xdr:from>
    <xdr:to>
      <xdr:col>117</xdr:col>
      <xdr:colOff>338727</xdr:colOff>
      <xdr:row>10</xdr:row>
      <xdr:rowOff>29602</xdr:rowOff>
    </xdr:to>
    <xdr:cxnSp macro="">
      <xdr:nvCxnSpPr>
        <xdr:cNvPr id="5390" name="MinuteMarker5_52">
          <a:extLst>
            <a:ext uri="{FF2B5EF4-FFF2-40B4-BE49-F238E27FC236}">
              <a16:creationId xmlns:a16="http://schemas.microsoft.com/office/drawing/2014/main" id="{CB9580EF-5CDC-D3F6-8953-51BE7567C1C6}"/>
            </a:ext>
          </a:extLst>
        </xdr:cNvPr>
        <xdr:cNvCxnSpPr/>
      </xdr:nvCxnSpPr>
      <xdr:spPr>
        <a:xfrm flipH="1" flipV="1">
          <a:off x="31880370" y="3247257"/>
          <a:ext cx="33732" cy="3037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368824</xdr:colOff>
      <xdr:row>9</xdr:row>
      <xdr:rowOff>344978</xdr:rowOff>
    </xdr:from>
    <xdr:to>
      <xdr:col>118</xdr:col>
      <xdr:colOff>18197</xdr:colOff>
      <xdr:row>9</xdr:row>
      <xdr:rowOff>378708</xdr:rowOff>
    </xdr:to>
    <xdr:cxnSp macro="">
      <xdr:nvCxnSpPr>
        <xdr:cNvPr id="5391" name="MinuteMarker5_53">
          <a:extLst>
            <a:ext uri="{FF2B5EF4-FFF2-40B4-BE49-F238E27FC236}">
              <a16:creationId xmlns:a16="http://schemas.microsoft.com/office/drawing/2014/main" id="{A7390E8A-F8B4-C114-BC86-5AF86A06C64B}"/>
            </a:ext>
          </a:extLst>
        </xdr:cNvPr>
        <xdr:cNvCxnSpPr/>
      </xdr:nvCxnSpPr>
      <xdr:spPr>
        <a:xfrm flipH="1" flipV="1">
          <a:off x="31944199" y="3183428"/>
          <a:ext cx="30373" cy="3373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118</xdr:col>
      <xdr:colOff>57975</xdr:colOff>
      <xdr:row>9</xdr:row>
      <xdr:rowOff>288171</xdr:rowOff>
    </xdr:from>
    <xdr:to>
      <xdr:col>118</xdr:col>
      <xdr:colOff>84655</xdr:colOff>
      <xdr:row>9</xdr:row>
      <xdr:rowOff>324891</xdr:rowOff>
    </xdr:to>
    <xdr:cxnSp macro="">
      <xdr:nvCxnSpPr>
        <xdr:cNvPr id="5392" name="MinuteMarker5_54">
          <a:extLst>
            <a:ext uri="{FF2B5EF4-FFF2-40B4-BE49-F238E27FC236}">
              <a16:creationId xmlns:a16="http://schemas.microsoft.com/office/drawing/2014/main" id="{75D8BA2A-8229-008A-F6B1-77794EC69E1D}"/>
            </a:ext>
          </a:extLst>
        </xdr:cNvPr>
        <xdr:cNvCxnSpPr/>
      </xdr:nvCxnSpPr>
      <xdr:spPr>
        <a:xfrm flipH="1" flipV="1">
          <a:off x="32014350" y="3126621"/>
          <a:ext cx="26680" cy="3672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118</xdr:col>
      <xdr:colOff>138218</xdr:colOff>
      <xdr:row>9</xdr:row>
      <xdr:rowOff>246869</xdr:rowOff>
    </xdr:from>
    <xdr:to>
      <xdr:col>118</xdr:col>
      <xdr:colOff>165453</xdr:colOff>
      <xdr:row>9</xdr:row>
      <xdr:rowOff>294038</xdr:rowOff>
    </xdr:to>
    <xdr:cxnSp macro="">
      <xdr:nvCxnSpPr>
        <xdr:cNvPr id="5393" name="MinuteMarker5_55">
          <a:extLst>
            <a:ext uri="{FF2B5EF4-FFF2-40B4-BE49-F238E27FC236}">
              <a16:creationId xmlns:a16="http://schemas.microsoft.com/office/drawing/2014/main" id="{0B38F8B9-499E-D0C4-7DE1-0AA6AA92B176}"/>
            </a:ext>
          </a:extLst>
        </xdr:cNvPr>
        <xdr:cNvCxnSpPr/>
      </xdr:nvCxnSpPr>
      <xdr:spPr>
        <a:xfrm>
          <a:off x="32094593" y="3085319"/>
          <a:ext cx="27235" cy="47169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118</xdr:col>
      <xdr:colOff>214108</xdr:colOff>
      <xdr:row>9</xdr:row>
      <xdr:rowOff>198027</xdr:rowOff>
    </xdr:from>
    <xdr:to>
      <xdr:col>118</xdr:col>
      <xdr:colOff>232572</xdr:colOff>
      <xdr:row>9</xdr:row>
      <xdr:rowOff>239492</xdr:rowOff>
    </xdr:to>
    <xdr:cxnSp macro="">
      <xdr:nvCxnSpPr>
        <xdr:cNvPr id="5394" name="MinuteMarker5_56">
          <a:extLst>
            <a:ext uri="{FF2B5EF4-FFF2-40B4-BE49-F238E27FC236}">
              <a16:creationId xmlns:a16="http://schemas.microsoft.com/office/drawing/2014/main" id="{ADA63A9F-D21F-49C2-3014-8751D7680AF4}"/>
            </a:ext>
          </a:extLst>
        </xdr:cNvPr>
        <xdr:cNvCxnSpPr/>
      </xdr:nvCxnSpPr>
      <xdr:spPr>
        <a:xfrm flipH="1" flipV="1">
          <a:off x="32170483" y="3036477"/>
          <a:ext cx="18464" cy="4146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118</xdr:col>
      <xdr:colOff>298382</xdr:colOff>
      <xdr:row>9</xdr:row>
      <xdr:rowOff>165678</xdr:rowOff>
    </xdr:from>
    <xdr:to>
      <xdr:col>118</xdr:col>
      <xdr:colOff>312406</xdr:colOff>
      <xdr:row>9</xdr:row>
      <xdr:rowOff>208845</xdr:rowOff>
    </xdr:to>
    <xdr:cxnSp macro="">
      <xdr:nvCxnSpPr>
        <xdr:cNvPr id="5395" name="MinuteMarker5_57">
          <a:extLst>
            <a:ext uri="{FF2B5EF4-FFF2-40B4-BE49-F238E27FC236}">
              <a16:creationId xmlns:a16="http://schemas.microsoft.com/office/drawing/2014/main" id="{E7F0A25A-DF71-916E-766A-B32E4F1EE3D4}"/>
            </a:ext>
          </a:extLst>
        </xdr:cNvPr>
        <xdr:cNvCxnSpPr/>
      </xdr:nvCxnSpPr>
      <xdr:spPr>
        <a:xfrm flipH="1" flipV="1">
          <a:off x="32254757" y="3004128"/>
          <a:ext cx="14024" cy="4316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4573</xdr:colOff>
      <xdr:row>9</xdr:row>
      <xdr:rowOff>142315</xdr:rowOff>
    </xdr:from>
    <xdr:to>
      <xdr:col>119</xdr:col>
      <xdr:colOff>14008</xdr:colOff>
      <xdr:row>9</xdr:row>
      <xdr:rowOff>186712</xdr:rowOff>
    </xdr:to>
    <xdr:cxnSp macro="">
      <xdr:nvCxnSpPr>
        <xdr:cNvPr id="5396" name="MinuteMarker5_58">
          <a:extLst>
            <a:ext uri="{FF2B5EF4-FFF2-40B4-BE49-F238E27FC236}">
              <a16:creationId xmlns:a16="http://schemas.microsoft.com/office/drawing/2014/main" id="{0715C8D6-9AC1-C0BA-ABC7-D2BF366388EE}"/>
            </a:ext>
          </a:extLst>
        </xdr:cNvPr>
        <xdr:cNvCxnSpPr/>
      </xdr:nvCxnSpPr>
      <xdr:spPr>
        <a:xfrm flipH="1" flipV="1">
          <a:off x="32341948" y="2980765"/>
          <a:ext cx="9435" cy="4439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93728</xdr:colOff>
      <xdr:row>9</xdr:row>
      <xdr:rowOff>128195</xdr:rowOff>
    </xdr:from>
    <xdr:to>
      <xdr:col>119</xdr:col>
      <xdr:colOff>98475</xdr:colOff>
      <xdr:row>9</xdr:row>
      <xdr:rowOff>173334</xdr:rowOff>
    </xdr:to>
    <xdr:cxnSp macro="">
      <xdr:nvCxnSpPr>
        <xdr:cNvPr id="5397" name="MinuteMarker5_59">
          <a:extLst>
            <a:ext uri="{FF2B5EF4-FFF2-40B4-BE49-F238E27FC236}">
              <a16:creationId xmlns:a16="http://schemas.microsoft.com/office/drawing/2014/main" id="{D7C8FC7D-2A10-7C2C-8A72-A8193B07637E}"/>
            </a:ext>
          </a:extLst>
        </xdr:cNvPr>
        <xdr:cNvCxnSpPr/>
      </xdr:nvCxnSpPr>
      <xdr:spPr>
        <a:xfrm flipH="1" flipV="1">
          <a:off x="32431103" y="2966645"/>
          <a:ext cx="4747" cy="45139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124</xdr:col>
      <xdr:colOff>193396</xdr:colOff>
      <xdr:row>9</xdr:row>
      <xdr:rowOff>132548</xdr:rowOff>
    </xdr:from>
    <xdr:to>
      <xdr:col>124</xdr:col>
      <xdr:colOff>193396</xdr:colOff>
      <xdr:row>9</xdr:row>
      <xdr:rowOff>187014</xdr:rowOff>
    </xdr:to>
    <xdr:cxnSp macro="">
      <xdr:nvCxnSpPr>
        <xdr:cNvPr id="5400" name="MinuteMarker6_0">
          <a:extLst>
            <a:ext uri="{FF2B5EF4-FFF2-40B4-BE49-F238E27FC236}">
              <a16:creationId xmlns:a16="http://schemas.microsoft.com/office/drawing/2014/main" id="{CC24E4EB-3C3B-2E39-15E4-F91D60466F09}"/>
            </a:ext>
          </a:extLst>
        </xdr:cNvPr>
        <xdr:cNvCxnSpPr/>
      </xdr:nvCxnSpPr>
      <xdr:spPr>
        <a:xfrm>
          <a:off x="34435771" y="2970998"/>
          <a:ext cx="0" cy="54466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124</xdr:col>
      <xdr:colOff>278795</xdr:colOff>
      <xdr:row>9</xdr:row>
      <xdr:rowOff>128195</xdr:rowOff>
    </xdr:from>
    <xdr:to>
      <xdr:col>124</xdr:col>
      <xdr:colOff>283542</xdr:colOff>
      <xdr:row>9</xdr:row>
      <xdr:rowOff>173334</xdr:rowOff>
    </xdr:to>
    <xdr:cxnSp macro="">
      <xdr:nvCxnSpPr>
        <xdr:cNvPr id="5401" name="MinuteMarker6_1">
          <a:extLst>
            <a:ext uri="{FF2B5EF4-FFF2-40B4-BE49-F238E27FC236}">
              <a16:creationId xmlns:a16="http://schemas.microsoft.com/office/drawing/2014/main" id="{B381A696-84F7-4E26-7F44-8AB347196BB0}"/>
            </a:ext>
          </a:extLst>
        </xdr:cNvPr>
        <xdr:cNvCxnSpPr/>
      </xdr:nvCxnSpPr>
      <xdr:spPr>
        <a:xfrm flipV="1">
          <a:off x="34521170" y="2966645"/>
          <a:ext cx="4747" cy="45139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124</xdr:col>
      <xdr:colOff>363262</xdr:colOff>
      <xdr:row>9</xdr:row>
      <xdr:rowOff>142315</xdr:rowOff>
    </xdr:from>
    <xdr:to>
      <xdr:col>124</xdr:col>
      <xdr:colOff>372697</xdr:colOff>
      <xdr:row>9</xdr:row>
      <xdr:rowOff>186712</xdr:rowOff>
    </xdr:to>
    <xdr:cxnSp macro="">
      <xdr:nvCxnSpPr>
        <xdr:cNvPr id="5402" name="MinuteMarker6_2">
          <a:extLst>
            <a:ext uri="{FF2B5EF4-FFF2-40B4-BE49-F238E27FC236}">
              <a16:creationId xmlns:a16="http://schemas.microsoft.com/office/drawing/2014/main" id="{49489359-F607-F4E4-F2E9-5E688B8BD85D}"/>
            </a:ext>
          </a:extLst>
        </xdr:cNvPr>
        <xdr:cNvCxnSpPr/>
      </xdr:nvCxnSpPr>
      <xdr:spPr>
        <a:xfrm flipV="1">
          <a:off x="34605637" y="2980765"/>
          <a:ext cx="9435" cy="4439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125</xdr:col>
      <xdr:colOff>64864</xdr:colOff>
      <xdr:row>9</xdr:row>
      <xdr:rowOff>165678</xdr:rowOff>
    </xdr:from>
    <xdr:to>
      <xdr:col>125</xdr:col>
      <xdr:colOff>78888</xdr:colOff>
      <xdr:row>9</xdr:row>
      <xdr:rowOff>208845</xdr:rowOff>
    </xdr:to>
    <xdr:cxnSp macro="">
      <xdr:nvCxnSpPr>
        <xdr:cNvPr id="5403" name="MinuteMarker6_3">
          <a:extLst>
            <a:ext uri="{FF2B5EF4-FFF2-40B4-BE49-F238E27FC236}">
              <a16:creationId xmlns:a16="http://schemas.microsoft.com/office/drawing/2014/main" id="{7D7BFF83-D8F1-DF70-18FE-92C7E3B435FA}"/>
            </a:ext>
          </a:extLst>
        </xdr:cNvPr>
        <xdr:cNvCxnSpPr/>
      </xdr:nvCxnSpPr>
      <xdr:spPr>
        <a:xfrm flipV="1">
          <a:off x="34688239" y="3004128"/>
          <a:ext cx="14024" cy="4316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125</xdr:col>
      <xdr:colOff>144698</xdr:colOff>
      <xdr:row>9</xdr:row>
      <xdr:rowOff>198027</xdr:rowOff>
    </xdr:from>
    <xdr:to>
      <xdr:col>125</xdr:col>
      <xdr:colOff>163162</xdr:colOff>
      <xdr:row>9</xdr:row>
      <xdr:rowOff>239492</xdr:rowOff>
    </xdr:to>
    <xdr:cxnSp macro="">
      <xdr:nvCxnSpPr>
        <xdr:cNvPr id="5404" name="MinuteMarker6_4">
          <a:extLst>
            <a:ext uri="{FF2B5EF4-FFF2-40B4-BE49-F238E27FC236}">
              <a16:creationId xmlns:a16="http://schemas.microsoft.com/office/drawing/2014/main" id="{0C2BB525-D66C-576F-1F65-DF5BD1EA74BE}"/>
            </a:ext>
          </a:extLst>
        </xdr:cNvPr>
        <xdr:cNvCxnSpPr/>
      </xdr:nvCxnSpPr>
      <xdr:spPr>
        <a:xfrm flipV="1">
          <a:off x="34768073" y="3036477"/>
          <a:ext cx="18464" cy="4146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125</xdr:col>
      <xdr:colOff>211817</xdr:colOff>
      <xdr:row>9</xdr:row>
      <xdr:rowOff>246869</xdr:rowOff>
    </xdr:from>
    <xdr:to>
      <xdr:col>125</xdr:col>
      <xdr:colOff>239052</xdr:colOff>
      <xdr:row>9</xdr:row>
      <xdr:rowOff>294038</xdr:rowOff>
    </xdr:to>
    <xdr:cxnSp macro="">
      <xdr:nvCxnSpPr>
        <xdr:cNvPr id="5405" name="MinuteMarker6_5">
          <a:extLst>
            <a:ext uri="{FF2B5EF4-FFF2-40B4-BE49-F238E27FC236}">
              <a16:creationId xmlns:a16="http://schemas.microsoft.com/office/drawing/2014/main" id="{262BC66E-96B9-26F1-5B4F-CD00AB86BFD7}"/>
            </a:ext>
          </a:extLst>
        </xdr:cNvPr>
        <xdr:cNvCxnSpPr/>
      </xdr:nvCxnSpPr>
      <xdr:spPr>
        <a:xfrm flipH="1">
          <a:off x="34835192" y="3085319"/>
          <a:ext cx="27235" cy="47169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125</xdr:col>
      <xdr:colOff>292615</xdr:colOff>
      <xdr:row>9</xdr:row>
      <xdr:rowOff>288171</xdr:rowOff>
    </xdr:from>
    <xdr:to>
      <xdr:col>125</xdr:col>
      <xdr:colOff>319295</xdr:colOff>
      <xdr:row>9</xdr:row>
      <xdr:rowOff>324891</xdr:rowOff>
    </xdr:to>
    <xdr:cxnSp macro="">
      <xdr:nvCxnSpPr>
        <xdr:cNvPr id="5406" name="MinuteMarker6_6">
          <a:extLst>
            <a:ext uri="{FF2B5EF4-FFF2-40B4-BE49-F238E27FC236}">
              <a16:creationId xmlns:a16="http://schemas.microsoft.com/office/drawing/2014/main" id="{C6DFF449-2715-0A84-0995-6FF79EACFE65}"/>
            </a:ext>
          </a:extLst>
        </xdr:cNvPr>
        <xdr:cNvCxnSpPr/>
      </xdr:nvCxnSpPr>
      <xdr:spPr>
        <a:xfrm flipV="1">
          <a:off x="34915990" y="3126621"/>
          <a:ext cx="26680" cy="3672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125</xdr:col>
      <xdr:colOff>359073</xdr:colOff>
      <xdr:row>9</xdr:row>
      <xdr:rowOff>344978</xdr:rowOff>
    </xdr:from>
    <xdr:to>
      <xdr:col>126</xdr:col>
      <xdr:colOff>8446</xdr:colOff>
      <xdr:row>9</xdr:row>
      <xdr:rowOff>378708</xdr:rowOff>
    </xdr:to>
    <xdr:cxnSp macro="">
      <xdr:nvCxnSpPr>
        <xdr:cNvPr id="5407" name="MinuteMarker6_7">
          <a:extLst>
            <a:ext uri="{FF2B5EF4-FFF2-40B4-BE49-F238E27FC236}">
              <a16:creationId xmlns:a16="http://schemas.microsoft.com/office/drawing/2014/main" id="{E49FC638-A4F3-7915-9286-F0586A79DA64}"/>
            </a:ext>
          </a:extLst>
        </xdr:cNvPr>
        <xdr:cNvCxnSpPr/>
      </xdr:nvCxnSpPr>
      <xdr:spPr>
        <a:xfrm flipV="1">
          <a:off x="34982448" y="3183428"/>
          <a:ext cx="30373" cy="3373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38543</xdr:colOff>
      <xdr:row>9</xdr:row>
      <xdr:rowOff>408807</xdr:rowOff>
    </xdr:from>
    <xdr:to>
      <xdr:col>126</xdr:col>
      <xdr:colOff>72275</xdr:colOff>
      <xdr:row>10</xdr:row>
      <xdr:rowOff>29602</xdr:rowOff>
    </xdr:to>
    <xdr:cxnSp macro="">
      <xdr:nvCxnSpPr>
        <xdr:cNvPr id="5408" name="MinuteMarker6_8">
          <a:extLst>
            <a:ext uri="{FF2B5EF4-FFF2-40B4-BE49-F238E27FC236}">
              <a16:creationId xmlns:a16="http://schemas.microsoft.com/office/drawing/2014/main" id="{D708D9F6-71CA-2EEE-259F-A1AE518CA4FF}"/>
            </a:ext>
          </a:extLst>
        </xdr:cNvPr>
        <xdr:cNvCxnSpPr/>
      </xdr:nvCxnSpPr>
      <xdr:spPr>
        <a:xfrm flipV="1">
          <a:off x="35042918" y="3247257"/>
          <a:ext cx="33732" cy="3037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92360</xdr:colOff>
      <xdr:row>10</xdr:row>
      <xdr:rowOff>69383</xdr:rowOff>
    </xdr:from>
    <xdr:to>
      <xdr:col>126</xdr:col>
      <xdr:colOff>129080</xdr:colOff>
      <xdr:row>10</xdr:row>
      <xdr:rowOff>96061</xdr:rowOff>
    </xdr:to>
    <xdr:cxnSp macro="">
      <xdr:nvCxnSpPr>
        <xdr:cNvPr id="5409" name="MinuteMarker6_9">
          <a:extLst>
            <a:ext uri="{FF2B5EF4-FFF2-40B4-BE49-F238E27FC236}">
              <a16:creationId xmlns:a16="http://schemas.microsoft.com/office/drawing/2014/main" id="{0A3FC03D-0D4B-4DA6-DC0E-3ACFAF6FBB18}"/>
            </a:ext>
          </a:extLst>
        </xdr:cNvPr>
        <xdr:cNvCxnSpPr/>
      </xdr:nvCxnSpPr>
      <xdr:spPr>
        <a:xfrm flipV="1">
          <a:off x="35096735" y="3317408"/>
          <a:ext cx="36720" cy="26678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123214</xdr:colOff>
      <xdr:row>10</xdr:row>
      <xdr:rowOff>149626</xdr:rowOff>
    </xdr:from>
    <xdr:to>
      <xdr:col>126</xdr:col>
      <xdr:colOff>170383</xdr:colOff>
      <xdr:row>10</xdr:row>
      <xdr:rowOff>176859</xdr:rowOff>
    </xdr:to>
    <xdr:cxnSp macro="">
      <xdr:nvCxnSpPr>
        <xdr:cNvPr id="5410" name="MinuteMarker6_10">
          <a:extLst>
            <a:ext uri="{FF2B5EF4-FFF2-40B4-BE49-F238E27FC236}">
              <a16:creationId xmlns:a16="http://schemas.microsoft.com/office/drawing/2014/main" id="{7E04DFC5-2281-D8E8-31DF-82F4870F532E}"/>
            </a:ext>
          </a:extLst>
        </xdr:cNvPr>
        <xdr:cNvCxnSpPr/>
      </xdr:nvCxnSpPr>
      <xdr:spPr>
        <a:xfrm flipH="1">
          <a:off x="35127589" y="3397651"/>
          <a:ext cx="47169" cy="27233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177760</xdr:colOff>
      <xdr:row>10</xdr:row>
      <xdr:rowOff>225516</xdr:rowOff>
    </xdr:from>
    <xdr:to>
      <xdr:col>126</xdr:col>
      <xdr:colOff>219224</xdr:colOff>
      <xdr:row>10</xdr:row>
      <xdr:rowOff>243977</xdr:rowOff>
    </xdr:to>
    <xdr:cxnSp macro="">
      <xdr:nvCxnSpPr>
        <xdr:cNvPr id="5411" name="MinuteMarker6_11">
          <a:extLst>
            <a:ext uri="{FF2B5EF4-FFF2-40B4-BE49-F238E27FC236}">
              <a16:creationId xmlns:a16="http://schemas.microsoft.com/office/drawing/2014/main" id="{D4A9FF7D-7819-5D0F-62B9-640229514FB0}"/>
            </a:ext>
          </a:extLst>
        </xdr:cNvPr>
        <xdr:cNvCxnSpPr/>
      </xdr:nvCxnSpPr>
      <xdr:spPr>
        <a:xfrm flipV="1">
          <a:off x="35182135" y="3473541"/>
          <a:ext cx="41464" cy="1846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208406</xdr:colOff>
      <xdr:row>11</xdr:row>
      <xdr:rowOff>14513</xdr:rowOff>
    </xdr:from>
    <xdr:to>
      <xdr:col>126</xdr:col>
      <xdr:colOff>251572</xdr:colOff>
      <xdr:row>11</xdr:row>
      <xdr:rowOff>28539</xdr:rowOff>
    </xdr:to>
    <xdr:cxnSp macro="">
      <xdr:nvCxnSpPr>
        <xdr:cNvPr id="5412" name="MinuteMarker6_12">
          <a:extLst>
            <a:ext uri="{FF2B5EF4-FFF2-40B4-BE49-F238E27FC236}">
              <a16:creationId xmlns:a16="http://schemas.microsoft.com/office/drawing/2014/main" id="{D3C778C3-1DFF-2C06-595D-DEF84CAAFE09}"/>
            </a:ext>
          </a:extLst>
        </xdr:cNvPr>
        <xdr:cNvCxnSpPr/>
      </xdr:nvCxnSpPr>
      <xdr:spPr>
        <a:xfrm flipV="1">
          <a:off x="35212781" y="3557813"/>
          <a:ext cx="43166" cy="14026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230541</xdr:colOff>
      <xdr:row>11</xdr:row>
      <xdr:rowOff>101704</xdr:rowOff>
    </xdr:from>
    <xdr:to>
      <xdr:col>126</xdr:col>
      <xdr:colOff>274935</xdr:colOff>
      <xdr:row>11</xdr:row>
      <xdr:rowOff>111141</xdr:rowOff>
    </xdr:to>
    <xdr:cxnSp macro="">
      <xdr:nvCxnSpPr>
        <xdr:cNvPr id="5413" name="MinuteMarker6_13">
          <a:extLst>
            <a:ext uri="{FF2B5EF4-FFF2-40B4-BE49-F238E27FC236}">
              <a16:creationId xmlns:a16="http://schemas.microsoft.com/office/drawing/2014/main" id="{A276BB4E-F6FD-995E-C3C8-F4C36BD381C9}"/>
            </a:ext>
          </a:extLst>
        </xdr:cNvPr>
        <xdr:cNvCxnSpPr/>
      </xdr:nvCxnSpPr>
      <xdr:spPr>
        <a:xfrm flipV="1">
          <a:off x="35234916" y="3645004"/>
          <a:ext cx="44394" cy="943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243917</xdr:colOff>
      <xdr:row>11</xdr:row>
      <xdr:rowOff>190860</xdr:rowOff>
    </xdr:from>
    <xdr:to>
      <xdr:col>126</xdr:col>
      <xdr:colOff>289058</xdr:colOff>
      <xdr:row>11</xdr:row>
      <xdr:rowOff>195605</xdr:rowOff>
    </xdr:to>
    <xdr:cxnSp macro="">
      <xdr:nvCxnSpPr>
        <xdr:cNvPr id="5414" name="MinuteMarker6_14">
          <a:extLst>
            <a:ext uri="{FF2B5EF4-FFF2-40B4-BE49-F238E27FC236}">
              <a16:creationId xmlns:a16="http://schemas.microsoft.com/office/drawing/2014/main" id="{B0D2490E-5983-386C-AACD-AEF0314793AB}"/>
            </a:ext>
          </a:extLst>
        </xdr:cNvPr>
        <xdr:cNvCxnSpPr/>
      </xdr:nvCxnSpPr>
      <xdr:spPr>
        <a:xfrm flipV="1">
          <a:off x="35248292" y="3734160"/>
          <a:ext cx="45141" cy="474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230237</xdr:colOff>
      <xdr:row>11</xdr:row>
      <xdr:rowOff>281004</xdr:rowOff>
    </xdr:from>
    <xdr:to>
      <xdr:col>126</xdr:col>
      <xdr:colOff>284705</xdr:colOff>
      <xdr:row>11</xdr:row>
      <xdr:rowOff>281004</xdr:rowOff>
    </xdr:to>
    <xdr:cxnSp macro="">
      <xdr:nvCxnSpPr>
        <xdr:cNvPr id="5415" name="MinuteMarker6_15">
          <a:extLst>
            <a:ext uri="{FF2B5EF4-FFF2-40B4-BE49-F238E27FC236}">
              <a16:creationId xmlns:a16="http://schemas.microsoft.com/office/drawing/2014/main" id="{4974188C-4899-BCE1-F303-5236E3609278}"/>
            </a:ext>
          </a:extLst>
        </xdr:cNvPr>
        <xdr:cNvCxnSpPr/>
      </xdr:nvCxnSpPr>
      <xdr:spPr>
        <a:xfrm flipH="1">
          <a:off x="35234612" y="3824304"/>
          <a:ext cx="54468" cy="0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243917</xdr:colOff>
      <xdr:row>12</xdr:row>
      <xdr:rowOff>71128</xdr:rowOff>
    </xdr:from>
    <xdr:to>
      <xdr:col>126</xdr:col>
      <xdr:colOff>289058</xdr:colOff>
      <xdr:row>12</xdr:row>
      <xdr:rowOff>75873</xdr:rowOff>
    </xdr:to>
    <xdr:cxnSp macro="">
      <xdr:nvCxnSpPr>
        <xdr:cNvPr id="5416" name="MinuteMarker6_16">
          <a:extLst>
            <a:ext uri="{FF2B5EF4-FFF2-40B4-BE49-F238E27FC236}">
              <a16:creationId xmlns:a16="http://schemas.microsoft.com/office/drawing/2014/main" id="{569508FE-355D-F263-116A-8D6A7C22AD4E}"/>
            </a:ext>
          </a:extLst>
        </xdr:cNvPr>
        <xdr:cNvCxnSpPr/>
      </xdr:nvCxnSpPr>
      <xdr:spPr>
        <a:xfrm>
          <a:off x="35248292" y="3909703"/>
          <a:ext cx="45141" cy="474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230541</xdr:colOff>
      <xdr:row>12</xdr:row>
      <xdr:rowOff>155592</xdr:rowOff>
    </xdr:from>
    <xdr:to>
      <xdr:col>126</xdr:col>
      <xdr:colOff>274935</xdr:colOff>
      <xdr:row>12</xdr:row>
      <xdr:rowOff>165029</xdr:rowOff>
    </xdr:to>
    <xdr:cxnSp macro="">
      <xdr:nvCxnSpPr>
        <xdr:cNvPr id="5417" name="MinuteMarker6_17">
          <a:extLst>
            <a:ext uri="{FF2B5EF4-FFF2-40B4-BE49-F238E27FC236}">
              <a16:creationId xmlns:a16="http://schemas.microsoft.com/office/drawing/2014/main" id="{27DE1FCD-FAA0-33B3-1FDE-FC217198304A}"/>
            </a:ext>
          </a:extLst>
        </xdr:cNvPr>
        <xdr:cNvCxnSpPr/>
      </xdr:nvCxnSpPr>
      <xdr:spPr>
        <a:xfrm>
          <a:off x="35234916" y="3994167"/>
          <a:ext cx="44394" cy="943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208406</xdr:colOff>
      <xdr:row>12</xdr:row>
      <xdr:rowOff>238194</xdr:rowOff>
    </xdr:from>
    <xdr:to>
      <xdr:col>126</xdr:col>
      <xdr:colOff>251572</xdr:colOff>
      <xdr:row>12</xdr:row>
      <xdr:rowOff>252220</xdr:rowOff>
    </xdr:to>
    <xdr:cxnSp macro="">
      <xdr:nvCxnSpPr>
        <xdr:cNvPr id="5418" name="MinuteMarker6_18">
          <a:extLst>
            <a:ext uri="{FF2B5EF4-FFF2-40B4-BE49-F238E27FC236}">
              <a16:creationId xmlns:a16="http://schemas.microsoft.com/office/drawing/2014/main" id="{299DA518-79A7-9CF6-B00B-97CE83EB9F83}"/>
            </a:ext>
          </a:extLst>
        </xdr:cNvPr>
        <xdr:cNvCxnSpPr/>
      </xdr:nvCxnSpPr>
      <xdr:spPr>
        <a:xfrm>
          <a:off x="35212781" y="4076769"/>
          <a:ext cx="43166" cy="14026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177760</xdr:colOff>
      <xdr:row>12</xdr:row>
      <xdr:rowOff>318031</xdr:rowOff>
    </xdr:from>
    <xdr:to>
      <xdr:col>126</xdr:col>
      <xdr:colOff>219224</xdr:colOff>
      <xdr:row>12</xdr:row>
      <xdr:rowOff>336492</xdr:rowOff>
    </xdr:to>
    <xdr:cxnSp macro="">
      <xdr:nvCxnSpPr>
        <xdr:cNvPr id="5419" name="MinuteMarker6_19">
          <a:extLst>
            <a:ext uri="{FF2B5EF4-FFF2-40B4-BE49-F238E27FC236}">
              <a16:creationId xmlns:a16="http://schemas.microsoft.com/office/drawing/2014/main" id="{2F5784C7-FF9D-97F4-78F4-278D0B799F23}"/>
            </a:ext>
          </a:extLst>
        </xdr:cNvPr>
        <xdr:cNvCxnSpPr/>
      </xdr:nvCxnSpPr>
      <xdr:spPr>
        <a:xfrm>
          <a:off x="35182135" y="4156606"/>
          <a:ext cx="41464" cy="1846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123214</xdr:colOff>
      <xdr:row>12</xdr:row>
      <xdr:rowOff>385149</xdr:rowOff>
    </xdr:from>
    <xdr:to>
      <xdr:col>126</xdr:col>
      <xdr:colOff>170383</xdr:colOff>
      <xdr:row>13</xdr:row>
      <xdr:rowOff>2807</xdr:rowOff>
    </xdr:to>
    <xdr:cxnSp macro="">
      <xdr:nvCxnSpPr>
        <xdr:cNvPr id="5420" name="MinuteMarker6_20">
          <a:extLst>
            <a:ext uri="{FF2B5EF4-FFF2-40B4-BE49-F238E27FC236}">
              <a16:creationId xmlns:a16="http://schemas.microsoft.com/office/drawing/2014/main" id="{D501E8D0-1F68-F4F1-32A3-6071CC198679}"/>
            </a:ext>
          </a:extLst>
        </xdr:cNvPr>
        <xdr:cNvCxnSpPr/>
      </xdr:nvCxnSpPr>
      <xdr:spPr>
        <a:xfrm flipH="1" flipV="1">
          <a:off x="35127589" y="4223724"/>
          <a:ext cx="47169" cy="27233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92360</xdr:colOff>
      <xdr:row>13</xdr:row>
      <xdr:rowOff>56372</xdr:rowOff>
    </xdr:from>
    <xdr:to>
      <xdr:col>126</xdr:col>
      <xdr:colOff>129080</xdr:colOff>
      <xdr:row>13</xdr:row>
      <xdr:rowOff>83051</xdr:rowOff>
    </xdr:to>
    <xdr:cxnSp macro="">
      <xdr:nvCxnSpPr>
        <xdr:cNvPr id="5421" name="MinuteMarker6_21">
          <a:extLst>
            <a:ext uri="{FF2B5EF4-FFF2-40B4-BE49-F238E27FC236}">
              <a16:creationId xmlns:a16="http://schemas.microsoft.com/office/drawing/2014/main" id="{8D5A549A-B0BA-A78A-2541-395BB03940FF}"/>
            </a:ext>
          </a:extLst>
        </xdr:cNvPr>
        <xdr:cNvCxnSpPr/>
      </xdr:nvCxnSpPr>
      <xdr:spPr>
        <a:xfrm>
          <a:off x="35096735" y="4304522"/>
          <a:ext cx="36720" cy="26679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38543</xdr:colOff>
      <xdr:row>13</xdr:row>
      <xdr:rowOff>122830</xdr:rowOff>
    </xdr:from>
    <xdr:to>
      <xdr:col>126</xdr:col>
      <xdr:colOff>72275</xdr:colOff>
      <xdr:row>13</xdr:row>
      <xdr:rowOff>153202</xdr:rowOff>
    </xdr:to>
    <xdr:cxnSp macro="">
      <xdr:nvCxnSpPr>
        <xdr:cNvPr id="5422" name="MinuteMarker6_22">
          <a:extLst>
            <a:ext uri="{FF2B5EF4-FFF2-40B4-BE49-F238E27FC236}">
              <a16:creationId xmlns:a16="http://schemas.microsoft.com/office/drawing/2014/main" id="{0E43F2CF-776D-83C8-EEAE-3DCF37B28F77}"/>
            </a:ext>
          </a:extLst>
        </xdr:cNvPr>
        <xdr:cNvCxnSpPr/>
      </xdr:nvCxnSpPr>
      <xdr:spPr>
        <a:xfrm>
          <a:off x="35042918" y="4370980"/>
          <a:ext cx="33732" cy="30372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125</xdr:col>
      <xdr:colOff>359073</xdr:colOff>
      <xdr:row>13</xdr:row>
      <xdr:rowOff>183300</xdr:rowOff>
    </xdr:from>
    <xdr:to>
      <xdr:col>126</xdr:col>
      <xdr:colOff>8446</xdr:colOff>
      <xdr:row>13</xdr:row>
      <xdr:rowOff>217030</xdr:rowOff>
    </xdr:to>
    <xdr:cxnSp macro="">
      <xdr:nvCxnSpPr>
        <xdr:cNvPr id="5423" name="MinuteMarker6_23">
          <a:extLst>
            <a:ext uri="{FF2B5EF4-FFF2-40B4-BE49-F238E27FC236}">
              <a16:creationId xmlns:a16="http://schemas.microsoft.com/office/drawing/2014/main" id="{C879C635-EA70-6C6B-7D9C-9C8B474EBA67}"/>
            </a:ext>
          </a:extLst>
        </xdr:cNvPr>
        <xdr:cNvCxnSpPr/>
      </xdr:nvCxnSpPr>
      <xdr:spPr>
        <a:xfrm>
          <a:off x="34982448" y="4431450"/>
          <a:ext cx="30373" cy="3373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125</xdr:col>
      <xdr:colOff>292615</xdr:colOff>
      <xdr:row>13</xdr:row>
      <xdr:rowOff>237117</xdr:rowOff>
    </xdr:from>
    <xdr:to>
      <xdr:col>125</xdr:col>
      <xdr:colOff>319295</xdr:colOff>
      <xdr:row>13</xdr:row>
      <xdr:rowOff>273837</xdr:rowOff>
    </xdr:to>
    <xdr:cxnSp macro="">
      <xdr:nvCxnSpPr>
        <xdr:cNvPr id="5424" name="MinuteMarker6_24">
          <a:extLst>
            <a:ext uri="{FF2B5EF4-FFF2-40B4-BE49-F238E27FC236}">
              <a16:creationId xmlns:a16="http://schemas.microsoft.com/office/drawing/2014/main" id="{9FB6C1AE-5171-C25D-63CE-491488D75553}"/>
            </a:ext>
          </a:extLst>
        </xdr:cNvPr>
        <xdr:cNvCxnSpPr/>
      </xdr:nvCxnSpPr>
      <xdr:spPr>
        <a:xfrm>
          <a:off x="34915990" y="4485267"/>
          <a:ext cx="26680" cy="3672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125</xdr:col>
      <xdr:colOff>211817</xdr:colOff>
      <xdr:row>13</xdr:row>
      <xdr:rowOff>267970</xdr:rowOff>
    </xdr:from>
    <xdr:to>
      <xdr:col>125</xdr:col>
      <xdr:colOff>239052</xdr:colOff>
      <xdr:row>14</xdr:row>
      <xdr:rowOff>19864</xdr:rowOff>
    </xdr:to>
    <xdr:cxnSp macro="">
      <xdr:nvCxnSpPr>
        <xdr:cNvPr id="5425" name="MinuteMarker6_25">
          <a:extLst>
            <a:ext uri="{FF2B5EF4-FFF2-40B4-BE49-F238E27FC236}">
              <a16:creationId xmlns:a16="http://schemas.microsoft.com/office/drawing/2014/main" id="{8EA5459D-BD5F-94F1-69E3-D27932CB8749}"/>
            </a:ext>
          </a:extLst>
        </xdr:cNvPr>
        <xdr:cNvCxnSpPr/>
      </xdr:nvCxnSpPr>
      <xdr:spPr>
        <a:xfrm flipH="1" flipV="1">
          <a:off x="34835192" y="4516120"/>
          <a:ext cx="27235" cy="47169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125</xdr:col>
      <xdr:colOff>144698</xdr:colOff>
      <xdr:row>14</xdr:row>
      <xdr:rowOff>27241</xdr:rowOff>
    </xdr:from>
    <xdr:to>
      <xdr:col>125</xdr:col>
      <xdr:colOff>163162</xdr:colOff>
      <xdr:row>14</xdr:row>
      <xdr:rowOff>68706</xdr:rowOff>
    </xdr:to>
    <xdr:cxnSp macro="">
      <xdr:nvCxnSpPr>
        <xdr:cNvPr id="5426" name="MinuteMarker6_26">
          <a:extLst>
            <a:ext uri="{FF2B5EF4-FFF2-40B4-BE49-F238E27FC236}">
              <a16:creationId xmlns:a16="http://schemas.microsoft.com/office/drawing/2014/main" id="{BF5F00D3-A953-A6B8-5B29-045D1BE30BCC}"/>
            </a:ext>
          </a:extLst>
        </xdr:cNvPr>
        <xdr:cNvCxnSpPr/>
      </xdr:nvCxnSpPr>
      <xdr:spPr>
        <a:xfrm>
          <a:off x="34768073" y="4570666"/>
          <a:ext cx="18464" cy="4146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125</xdr:col>
      <xdr:colOff>64864</xdr:colOff>
      <xdr:row>14</xdr:row>
      <xdr:rowOff>57888</xdr:rowOff>
    </xdr:from>
    <xdr:to>
      <xdr:col>125</xdr:col>
      <xdr:colOff>78888</xdr:colOff>
      <xdr:row>14</xdr:row>
      <xdr:rowOff>101055</xdr:rowOff>
    </xdr:to>
    <xdr:cxnSp macro="">
      <xdr:nvCxnSpPr>
        <xdr:cNvPr id="5427" name="MinuteMarker6_27">
          <a:extLst>
            <a:ext uri="{FF2B5EF4-FFF2-40B4-BE49-F238E27FC236}">
              <a16:creationId xmlns:a16="http://schemas.microsoft.com/office/drawing/2014/main" id="{8E45E100-824F-CEAB-F85B-59D82637E49E}"/>
            </a:ext>
          </a:extLst>
        </xdr:cNvPr>
        <xdr:cNvCxnSpPr/>
      </xdr:nvCxnSpPr>
      <xdr:spPr>
        <a:xfrm>
          <a:off x="34688239" y="4601313"/>
          <a:ext cx="14024" cy="4316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124</xdr:col>
      <xdr:colOff>363262</xdr:colOff>
      <xdr:row>14</xdr:row>
      <xdr:rowOff>80021</xdr:rowOff>
    </xdr:from>
    <xdr:to>
      <xdr:col>124</xdr:col>
      <xdr:colOff>372697</xdr:colOff>
      <xdr:row>14</xdr:row>
      <xdr:rowOff>124418</xdr:rowOff>
    </xdr:to>
    <xdr:cxnSp macro="">
      <xdr:nvCxnSpPr>
        <xdr:cNvPr id="5428" name="MinuteMarker6_28">
          <a:extLst>
            <a:ext uri="{FF2B5EF4-FFF2-40B4-BE49-F238E27FC236}">
              <a16:creationId xmlns:a16="http://schemas.microsoft.com/office/drawing/2014/main" id="{AAA02386-2FAE-DC99-4049-EE133C609044}"/>
            </a:ext>
          </a:extLst>
        </xdr:cNvPr>
        <xdr:cNvCxnSpPr/>
      </xdr:nvCxnSpPr>
      <xdr:spPr>
        <a:xfrm>
          <a:off x="34605637" y="4623446"/>
          <a:ext cx="9435" cy="4439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124</xdr:col>
      <xdr:colOff>278795</xdr:colOff>
      <xdr:row>14</xdr:row>
      <xdr:rowOff>93399</xdr:rowOff>
    </xdr:from>
    <xdr:to>
      <xdr:col>124</xdr:col>
      <xdr:colOff>283542</xdr:colOff>
      <xdr:row>14</xdr:row>
      <xdr:rowOff>138539</xdr:rowOff>
    </xdr:to>
    <xdr:cxnSp macro="">
      <xdr:nvCxnSpPr>
        <xdr:cNvPr id="5429" name="MinuteMarker6_29">
          <a:extLst>
            <a:ext uri="{FF2B5EF4-FFF2-40B4-BE49-F238E27FC236}">
              <a16:creationId xmlns:a16="http://schemas.microsoft.com/office/drawing/2014/main" id="{0841354E-D649-61C0-F544-4ABF42268D1F}"/>
            </a:ext>
          </a:extLst>
        </xdr:cNvPr>
        <xdr:cNvCxnSpPr/>
      </xdr:nvCxnSpPr>
      <xdr:spPr>
        <a:xfrm>
          <a:off x="34521170" y="4636824"/>
          <a:ext cx="4747" cy="4514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124</xdr:col>
      <xdr:colOff>193396</xdr:colOff>
      <xdr:row>14</xdr:row>
      <xdr:rowOff>79719</xdr:rowOff>
    </xdr:from>
    <xdr:to>
      <xdr:col>124</xdr:col>
      <xdr:colOff>193396</xdr:colOff>
      <xdr:row>14</xdr:row>
      <xdr:rowOff>134185</xdr:rowOff>
    </xdr:to>
    <xdr:cxnSp macro="">
      <xdr:nvCxnSpPr>
        <xdr:cNvPr id="5430" name="MinuteMarker6_30">
          <a:extLst>
            <a:ext uri="{FF2B5EF4-FFF2-40B4-BE49-F238E27FC236}">
              <a16:creationId xmlns:a16="http://schemas.microsoft.com/office/drawing/2014/main" id="{5D21AD40-5B61-5056-BC21-32B66D6EFD0B}"/>
            </a:ext>
          </a:extLst>
        </xdr:cNvPr>
        <xdr:cNvCxnSpPr/>
      </xdr:nvCxnSpPr>
      <xdr:spPr>
        <a:xfrm flipV="1">
          <a:off x="34435771" y="4623144"/>
          <a:ext cx="0" cy="54466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124</xdr:col>
      <xdr:colOff>103253</xdr:colOff>
      <xdr:row>14</xdr:row>
      <xdr:rowOff>93399</xdr:rowOff>
    </xdr:from>
    <xdr:to>
      <xdr:col>124</xdr:col>
      <xdr:colOff>108000</xdr:colOff>
      <xdr:row>14</xdr:row>
      <xdr:rowOff>138539</xdr:rowOff>
    </xdr:to>
    <xdr:cxnSp macro="">
      <xdr:nvCxnSpPr>
        <xdr:cNvPr id="5431" name="MinuteMarker6_31">
          <a:extLst>
            <a:ext uri="{FF2B5EF4-FFF2-40B4-BE49-F238E27FC236}">
              <a16:creationId xmlns:a16="http://schemas.microsoft.com/office/drawing/2014/main" id="{41F55988-F485-749D-26F4-6630EFE777D9}"/>
            </a:ext>
          </a:extLst>
        </xdr:cNvPr>
        <xdr:cNvCxnSpPr/>
      </xdr:nvCxnSpPr>
      <xdr:spPr>
        <a:xfrm flipH="1">
          <a:off x="34345628" y="4636824"/>
          <a:ext cx="4747" cy="4514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124</xdr:col>
      <xdr:colOff>14098</xdr:colOff>
      <xdr:row>14</xdr:row>
      <xdr:rowOff>80021</xdr:rowOff>
    </xdr:from>
    <xdr:to>
      <xdr:col>124</xdr:col>
      <xdr:colOff>23533</xdr:colOff>
      <xdr:row>14</xdr:row>
      <xdr:rowOff>124418</xdr:rowOff>
    </xdr:to>
    <xdr:cxnSp macro="">
      <xdr:nvCxnSpPr>
        <xdr:cNvPr id="5432" name="MinuteMarker6_32">
          <a:extLst>
            <a:ext uri="{FF2B5EF4-FFF2-40B4-BE49-F238E27FC236}">
              <a16:creationId xmlns:a16="http://schemas.microsoft.com/office/drawing/2014/main" id="{ADF84AEC-5712-08E7-9ADF-E33881D7C528}"/>
            </a:ext>
          </a:extLst>
        </xdr:cNvPr>
        <xdr:cNvCxnSpPr/>
      </xdr:nvCxnSpPr>
      <xdr:spPr>
        <a:xfrm flipH="1">
          <a:off x="34256473" y="4623446"/>
          <a:ext cx="9435" cy="4439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307907</xdr:colOff>
      <xdr:row>14</xdr:row>
      <xdr:rowOff>57888</xdr:rowOff>
    </xdr:from>
    <xdr:to>
      <xdr:col>123</xdr:col>
      <xdr:colOff>321931</xdr:colOff>
      <xdr:row>14</xdr:row>
      <xdr:rowOff>101055</xdr:rowOff>
    </xdr:to>
    <xdr:cxnSp macro="">
      <xdr:nvCxnSpPr>
        <xdr:cNvPr id="5433" name="MinuteMarker6_33">
          <a:extLst>
            <a:ext uri="{FF2B5EF4-FFF2-40B4-BE49-F238E27FC236}">
              <a16:creationId xmlns:a16="http://schemas.microsoft.com/office/drawing/2014/main" id="{1A30DC66-61EA-3FC4-4C86-93425AB115EB}"/>
            </a:ext>
          </a:extLst>
        </xdr:cNvPr>
        <xdr:cNvCxnSpPr/>
      </xdr:nvCxnSpPr>
      <xdr:spPr>
        <a:xfrm flipH="1">
          <a:off x="34169282" y="4601313"/>
          <a:ext cx="14024" cy="4316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223633</xdr:colOff>
      <xdr:row>14</xdr:row>
      <xdr:rowOff>27241</xdr:rowOff>
    </xdr:from>
    <xdr:to>
      <xdr:col>123</xdr:col>
      <xdr:colOff>242097</xdr:colOff>
      <xdr:row>14</xdr:row>
      <xdr:rowOff>68706</xdr:rowOff>
    </xdr:to>
    <xdr:cxnSp macro="">
      <xdr:nvCxnSpPr>
        <xdr:cNvPr id="5434" name="MinuteMarker6_34">
          <a:extLst>
            <a:ext uri="{FF2B5EF4-FFF2-40B4-BE49-F238E27FC236}">
              <a16:creationId xmlns:a16="http://schemas.microsoft.com/office/drawing/2014/main" id="{74468FB1-1999-0706-9F12-511CC907DD0D}"/>
            </a:ext>
          </a:extLst>
        </xdr:cNvPr>
        <xdr:cNvCxnSpPr/>
      </xdr:nvCxnSpPr>
      <xdr:spPr>
        <a:xfrm flipH="1">
          <a:off x="34085008" y="4570666"/>
          <a:ext cx="18464" cy="4146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147743</xdr:colOff>
      <xdr:row>13</xdr:row>
      <xdr:rowOff>267970</xdr:rowOff>
    </xdr:from>
    <xdr:to>
      <xdr:col>123</xdr:col>
      <xdr:colOff>174978</xdr:colOff>
      <xdr:row>14</xdr:row>
      <xdr:rowOff>19864</xdr:rowOff>
    </xdr:to>
    <xdr:cxnSp macro="">
      <xdr:nvCxnSpPr>
        <xdr:cNvPr id="5435" name="MinuteMarker6_35">
          <a:extLst>
            <a:ext uri="{FF2B5EF4-FFF2-40B4-BE49-F238E27FC236}">
              <a16:creationId xmlns:a16="http://schemas.microsoft.com/office/drawing/2014/main" id="{4450D636-7F5A-822A-0613-C07705A53891}"/>
            </a:ext>
          </a:extLst>
        </xdr:cNvPr>
        <xdr:cNvCxnSpPr/>
      </xdr:nvCxnSpPr>
      <xdr:spPr>
        <a:xfrm flipV="1">
          <a:off x="34009118" y="4516120"/>
          <a:ext cx="27235" cy="47169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67500</xdr:colOff>
      <xdr:row>13</xdr:row>
      <xdr:rowOff>237117</xdr:rowOff>
    </xdr:from>
    <xdr:to>
      <xdr:col>123</xdr:col>
      <xdr:colOff>94180</xdr:colOff>
      <xdr:row>13</xdr:row>
      <xdr:rowOff>273837</xdr:rowOff>
    </xdr:to>
    <xdr:cxnSp macro="">
      <xdr:nvCxnSpPr>
        <xdr:cNvPr id="5436" name="MinuteMarker6_36">
          <a:extLst>
            <a:ext uri="{FF2B5EF4-FFF2-40B4-BE49-F238E27FC236}">
              <a16:creationId xmlns:a16="http://schemas.microsoft.com/office/drawing/2014/main" id="{83B5865A-CBC7-D5B3-3581-9FB7348DF569}"/>
            </a:ext>
          </a:extLst>
        </xdr:cNvPr>
        <xdr:cNvCxnSpPr/>
      </xdr:nvCxnSpPr>
      <xdr:spPr>
        <a:xfrm flipH="1">
          <a:off x="33928875" y="4485267"/>
          <a:ext cx="26680" cy="3672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378349</xdr:colOff>
      <xdr:row>13</xdr:row>
      <xdr:rowOff>183300</xdr:rowOff>
    </xdr:from>
    <xdr:to>
      <xdr:col>123</xdr:col>
      <xdr:colOff>27722</xdr:colOff>
      <xdr:row>13</xdr:row>
      <xdr:rowOff>217030</xdr:rowOff>
    </xdr:to>
    <xdr:cxnSp macro="">
      <xdr:nvCxnSpPr>
        <xdr:cNvPr id="5437" name="MinuteMarker6_37">
          <a:extLst>
            <a:ext uri="{FF2B5EF4-FFF2-40B4-BE49-F238E27FC236}">
              <a16:creationId xmlns:a16="http://schemas.microsoft.com/office/drawing/2014/main" id="{6E064471-D445-E4B1-6AD8-5923DA81008A}"/>
            </a:ext>
          </a:extLst>
        </xdr:cNvPr>
        <xdr:cNvCxnSpPr/>
      </xdr:nvCxnSpPr>
      <xdr:spPr>
        <a:xfrm flipH="1">
          <a:off x="33858724" y="4431450"/>
          <a:ext cx="30373" cy="3373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314520</xdr:colOff>
      <xdr:row>13</xdr:row>
      <xdr:rowOff>122830</xdr:rowOff>
    </xdr:from>
    <xdr:to>
      <xdr:col>122</xdr:col>
      <xdr:colOff>348252</xdr:colOff>
      <xdr:row>13</xdr:row>
      <xdr:rowOff>153202</xdr:rowOff>
    </xdr:to>
    <xdr:cxnSp macro="">
      <xdr:nvCxnSpPr>
        <xdr:cNvPr id="5438" name="MinuteMarker6_38">
          <a:extLst>
            <a:ext uri="{FF2B5EF4-FFF2-40B4-BE49-F238E27FC236}">
              <a16:creationId xmlns:a16="http://schemas.microsoft.com/office/drawing/2014/main" id="{9F36832F-B8CF-FCE4-6D43-CB7F784EC048}"/>
            </a:ext>
          </a:extLst>
        </xdr:cNvPr>
        <xdr:cNvCxnSpPr/>
      </xdr:nvCxnSpPr>
      <xdr:spPr>
        <a:xfrm flipH="1">
          <a:off x="33794895" y="4370980"/>
          <a:ext cx="33732" cy="30372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257715</xdr:colOff>
      <xdr:row>13</xdr:row>
      <xdr:rowOff>56372</xdr:rowOff>
    </xdr:from>
    <xdr:to>
      <xdr:col>122</xdr:col>
      <xdr:colOff>294435</xdr:colOff>
      <xdr:row>13</xdr:row>
      <xdr:rowOff>83051</xdr:rowOff>
    </xdr:to>
    <xdr:cxnSp macro="">
      <xdr:nvCxnSpPr>
        <xdr:cNvPr id="5439" name="MinuteMarker6_39">
          <a:extLst>
            <a:ext uri="{FF2B5EF4-FFF2-40B4-BE49-F238E27FC236}">
              <a16:creationId xmlns:a16="http://schemas.microsoft.com/office/drawing/2014/main" id="{ABBD8294-8B67-BC44-68EE-9FE142F18A1D}"/>
            </a:ext>
          </a:extLst>
        </xdr:cNvPr>
        <xdr:cNvCxnSpPr/>
      </xdr:nvCxnSpPr>
      <xdr:spPr>
        <a:xfrm flipH="1">
          <a:off x="33738090" y="4304522"/>
          <a:ext cx="36720" cy="26679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216412</xdr:colOff>
      <xdr:row>12</xdr:row>
      <xdr:rowOff>385149</xdr:rowOff>
    </xdr:from>
    <xdr:to>
      <xdr:col>122</xdr:col>
      <xdr:colOff>263581</xdr:colOff>
      <xdr:row>13</xdr:row>
      <xdr:rowOff>2807</xdr:rowOff>
    </xdr:to>
    <xdr:cxnSp macro="">
      <xdr:nvCxnSpPr>
        <xdr:cNvPr id="5440" name="MinuteMarker6_40">
          <a:extLst>
            <a:ext uri="{FF2B5EF4-FFF2-40B4-BE49-F238E27FC236}">
              <a16:creationId xmlns:a16="http://schemas.microsoft.com/office/drawing/2014/main" id="{59E24332-AB4B-D87D-9035-38FE8C541B6C}"/>
            </a:ext>
          </a:extLst>
        </xdr:cNvPr>
        <xdr:cNvCxnSpPr/>
      </xdr:nvCxnSpPr>
      <xdr:spPr>
        <a:xfrm flipV="1">
          <a:off x="33696787" y="4223724"/>
          <a:ext cx="47169" cy="27233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167571</xdr:colOff>
      <xdr:row>12</xdr:row>
      <xdr:rowOff>318031</xdr:rowOff>
    </xdr:from>
    <xdr:to>
      <xdr:col>122</xdr:col>
      <xdr:colOff>209035</xdr:colOff>
      <xdr:row>12</xdr:row>
      <xdr:rowOff>336492</xdr:rowOff>
    </xdr:to>
    <xdr:cxnSp macro="">
      <xdr:nvCxnSpPr>
        <xdr:cNvPr id="5441" name="MinuteMarker6_41">
          <a:extLst>
            <a:ext uri="{FF2B5EF4-FFF2-40B4-BE49-F238E27FC236}">
              <a16:creationId xmlns:a16="http://schemas.microsoft.com/office/drawing/2014/main" id="{363CCD3F-A10A-CF67-97B4-D1B4D6E5D8E8}"/>
            </a:ext>
          </a:extLst>
        </xdr:cNvPr>
        <xdr:cNvCxnSpPr/>
      </xdr:nvCxnSpPr>
      <xdr:spPr>
        <a:xfrm flipH="1">
          <a:off x="33647946" y="4156606"/>
          <a:ext cx="41464" cy="1846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135223</xdr:colOff>
      <xdr:row>12</xdr:row>
      <xdr:rowOff>238194</xdr:rowOff>
    </xdr:from>
    <xdr:to>
      <xdr:col>122</xdr:col>
      <xdr:colOff>178389</xdr:colOff>
      <xdr:row>12</xdr:row>
      <xdr:rowOff>252220</xdr:rowOff>
    </xdr:to>
    <xdr:cxnSp macro="">
      <xdr:nvCxnSpPr>
        <xdr:cNvPr id="5442" name="MinuteMarker6_42">
          <a:extLst>
            <a:ext uri="{FF2B5EF4-FFF2-40B4-BE49-F238E27FC236}">
              <a16:creationId xmlns:a16="http://schemas.microsoft.com/office/drawing/2014/main" id="{E6494E3E-C0E7-7A3C-68FD-1A9F0D09CF23}"/>
            </a:ext>
          </a:extLst>
        </xdr:cNvPr>
        <xdr:cNvCxnSpPr/>
      </xdr:nvCxnSpPr>
      <xdr:spPr>
        <a:xfrm flipH="1">
          <a:off x="33615598" y="4076769"/>
          <a:ext cx="43166" cy="14026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111860</xdr:colOff>
      <xdr:row>12</xdr:row>
      <xdr:rowOff>155592</xdr:rowOff>
    </xdr:from>
    <xdr:to>
      <xdr:col>122</xdr:col>
      <xdr:colOff>156254</xdr:colOff>
      <xdr:row>12</xdr:row>
      <xdr:rowOff>165029</xdr:rowOff>
    </xdr:to>
    <xdr:cxnSp macro="">
      <xdr:nvCxnSpPr>
        <xdr:cNvPr id="5443" name="MinuteMarker6_43">
          <a:extLst>
            <a:ext uri="{FF2B5EF4-FFF2-40B4-BE49-F238E27FC236}">
              <a16:creationId xmlns:a16="http://schemas.microsoft.com/office/drawing/2014/main" id="{84EA1B75-4E34-7E20-0835-340654A1F7ED}"/>
            </a:ext>
          </a:extLst>
        </xdr:cNvPr>
        <xdr:cNvCxnSpPr/>
      </xdr:nvCxnSpPr>
      <xdr:spPr>
        <a:xfrm flipH="1">
          <a:off x="33592235" y="3994167"/>
          <a:ext cx="44394" cy="943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97737</xdr:colOff>
      <xdr:row>12</xdr:row>
      <xdr:rowOff>71128</xdr:rowOff>
    </xdr:from>
    <xdr:to>
      <xdr:col>122</xdr:col>
      <xdr:colOff>142878</xdr:colOff>
      <xdr:row>12</xdr:row>
      <xdr:rowOff>75873</xdr:rowOff>
    </xdr:to>
    <xdr:cxnSp macro="">
      <xdr:nvCxnSpPr>
        <xdr:cNvPr id="5444" name="MinuteMarker6_44">
          <a:extLst>
            <a:ext uri="{FF2B5EF4-FFF2-40B4-BE49-F238E27FC236}">
              <a16:creationId xmlns:a16="http://schemas.microsoft.com/office/drawing/2014/main" id="{6301D132-56E0-4BCC-C7B4-AAF79B6401C4}"/>
            </a:ext>
          </a:extLst>
        </xdr:cNvPr>
        <xdr:cNvCxnSpPr/>
      </xdr:nvCxnSpPr>
      <xdr:spPr>
        <a:xfrm flipH="1">
          <a:off x="33578112" y="3909703"/>
          <a:ext cx="45141" cy="474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102090</xdr:colOff>
      <xdr:row>11</xdr:row>
      <xdr:rowOff>281004</xdr:rowOff>
    </xdr:from>
    <xdr:to>
      <xdr:col>122</xdr:col>
      <xdr:colOff>156558</xdr:colOff>
      <xdr:row>11</xdr:row>
      <xdr:rowOff>281004</xdr:rowOff>
    </xdr:to>
    <xdr:cxnSp macro="">
      <xdr:nvCxnSpPr>
        <xdr:cNvPr id="5445" name="MinuteMarker6_45">
          <a:extLst>
            <a:ext uri="{FF2B5EF4-FFF2-40B4-BE49-F238E27FC236}">
              <a16:creationId xmlns:a16="http://schemas.microsoft.com/office/drawing/2014/main" id="{6CA7A978-636C-DE52-C717-7F69DA612781}"/>
            </a:ext>
          </a:extLst>
        </xdr:cNvPr>
        <xdr:cNvCxnSpPr/>
      </xdr:nvCxnSpPr>
      <xdr:spPr>
        <a:xfrm>
          <a:off x="33582465" y="3824304"/>
          <a:ext cx="54468" cy="0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97737</xdr:colOff>
      <xdr:row>11</xdr:row>
      <xdr:rowOff>190860</xdr:rowOff>
    </xdr:from>
    <xdr:to>
      <xdr:col>122</xdr:col>
      <xdr:colOff>142878</xdr:colOff>
      <xdr:row>11</xdr:row>
      <xdr:rowOff>195605</xdr:rowOff>
    </xdr:to>
    <xdr:cxnSp macro="">
      <xdr:nvCxnSpPr>
        <xdr:cNvPr id="5446" name="MinuteMarker6_46">
          <a:extLst>
            <a:ext uri="{FF2B5EF4-FFF2-40B4-BE49-F238E27FC236}">
              <a16:creationId xmlns:a16="http://schemas.microsoft.com/office/drawing/2014/main" id="{9CD6C9C0-6F79-B9F6-88D0-0D4E81AC93F0}"/>
            </a:ext>
          </a:extLst>
        </xdr:cNvPr>
        <xdr:cNvCxnSpPr/>
      </xdr:nvCxnSpPr>
      <xdr:spPr>
        <a:xfrm flipH="1" flipV="1">
          <a:off x="33578112" y="3734160"/>
          <a:ext cx="45141" cy="474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111860</xdr:colOff>
      <xdr:row>11</xdr:row>
      <xdr:rowOff>101704</xdr:rowOff>
    </xdr:from>
    <xdr:to>
      <xdr:col>122</xdr:col>
      <xdr:colOff>156254</xdr:colOff>
      <xdr:row>11</xdr:row>
      <xdr:rowOff>111141</xdr:rowOff>
    </xdr:to>
    <xdr:cxnSp macro="">
      <xdr:nvCxnSpPr>
        <xdr:cNvPr id="5447" name="MinuteMarker6_47">
          <a:extLst>
            <a:ext uri="{FF2B5EF4-FFF2-40B4-BE49-F238E27FC236}">
              <a16:creationId xmlns:a16="http://schemas.microsoft.com/office/drawing/2014/main" id="{8E8BDA75-036B-5930-5A2C-703D7F4CBEA9}"/>
            </a:ext>
          </a:extLst>
        </xdr:cNvPr>
        <xdr:cNvCxnSpPr/>
      </xdr:nvCxnSpPr>
      <xdr:spPr>
        <a:xfrm flipH="1" flipV="1">
          <a:off x="33592235" y="3645004"/>
          <a:ext cx="44394" cy="943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135223</xdr:colOff>
      <xdr:row>11</xdr:row>
      <xdr:rowOff>14513</xdr:rowOff>
    </xdr:from>
    <xdr:to>
      <xdr:col>122</xdr:col>
      <xdr:colOff>178389</xdr:colOff>
      <xdr:row>11</xdr:row>
      <xdr:rowOff>28539</xdr:rowOff>
    </xdr:to>
    <xdr:cxnSp macro="">
      <xdr:nvCxnSpPr>
        <xdr:cNvPr id="5448" name="MinuteMarker6_48">
          <a:extLst>
            <a:ext uri="{FF2B5EF4-FFF2-40B4-BE49-F238E27FC236}">
              <a16:creationId xmlns:a16="http://schemas.microsoft.com/office/drawing/2014/main" id="{5E2B99E5-F1CB-1FB5-FDD9-3E229BA39F94}"/>
            </a:ext>
          </a:extLst>
        </xdr:cNvPr>
        <xdr:cNvCxnSpPr/>
      </xdr:nvCxnSpPr>
      <xdr:spPr>
        <a:xfrm flipH="1" flipV="1">
          <a:off x="33615598" y="3557813"/>
          <a:ext cx="43166" cy="14026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167571</xdr:colOff>
      <xdr:row>10</xdr:row>
      <xdr:rowOff>225516</xdr:rowOff>
    </xdr:from>
    <xdr:to>
      <xdr:col>122</xdr:col>
      <xdr:colOff>209035</xdr:colOff>
      <xdr:row>10</xdr:row>
      <xdr:rowOff>243977</xdr:rowOff>
    </xdr:to>
    <xdr:cxnSp macro="">
      <xdr:nvCxnSpPr>
        <xdr:cNvPr id="5449" name="MinuteMarker6_49">
          <a:extLst>
            <a:ext uri="{FF2B5EF4-FFF2-40B4-BE49-F238E27FC236}">
              <a16:creationId xmlns:a16="http://schemas.microsoft.com/office/drawing/2014/main" id="{77963A68-5B71-1C2A-8694-200F6D227881}"/>
            </a:ext>
          </a:extLst>
        </xdr:cNvPr>
        <xdr:cNvCxnSpPr/>
      </xdr:nvCxnSpPr>
      <xdr:spPr>
        <a:xfrm flipH="1" flipV="1">
          <a:off x="33647946" y="3473541"/>
          <a:ext cx="41464" cy="1846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216412</xdr:colOff>
      <xdr:row>10</xdr:row>
      <xdr:rowOff>149626</xdr:rowOff>
    </xdr:from>
    <xdr:to>
      <xdr:col>122</xdr:col>
      <xdr:colOff>263581</xdr:colOff>
      <xdr:row>10</xdr:row>
      <xdr:rowOff>176859</xdr:rowOff>
    </xdr:to>
    <xdr:cxnSp macro="">
      <xdr:nvCxnSpPr>
        <xdr:cNvPr id="5450" name="MinuteMarker6_50">
          <a:extLst>
            <a:ext uri="{FF2B5EF4-FFF2-40B4-BE49-F238E27FC236}">
              <a16:creationId xmlns:a16="http://schemas.microsoft.com/office/drawing/2014/main" id="{1FFDA054-33B6-2D99-241B-232BA33C699A}"/>
            </a:ext>
          </a:extLst>
        </xdr:cNvPr>
        <xdr:cNvCxnSpPr/>
      </xdr:nvCxnSpPr>
      <xdr:spPr>
        <a:xfrm>
          <a:off x="33696787" y="3397651"/>
          <a:ext cx="47169" cy="27233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257715</xdr:colOff>
      <xdr:row>10</xdr:row>
      <xdr:rowOff>69383</xdr:rowOff>
    </xdr:from>
    <xdr:to>
      <xdr:col>122</xdr:col>
      <xdr:colOff>294435</xdr:colOff>
      <xdr:row>10</xdr:row>
      <xdr:rowOff>96061</xdr:rowOff>
    </xdr:to>
    <xdr:cxnSp macro="">
      <xdr:nvCxnSpPr>
        <xdr:cNvPr id="5451" name="MinuteMarker6_51">
          <a:extLst>
            <a:ext uri="{FF2B5EF4-FFF2-40B4-BE49-F238E27FC236}">
              <a16:creationId xmlns:a16="http://schemas.microsoft.com/office/drawing/2014/main" id="{417B7ED6-0BA4-A143-E7D1-453FBB9C1976}"/>
            </a:ext>
          </a:extLst>
        </xdr:cNvPr>
        <xdr:cNvCxnSpPr/>
      </xdr:nvCxnSpPr>
      <xdr:spPr>
        <a:xfrm flipH="1" flipV="1">
          <a:off x="33738090" y="3317408"/>
          <a:ext cx="36720" cy="26678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314520</xdr:colOff>
      <xdr:row>9</xdr:row>
      <xdr:rowOff>408807</xdr:rowOff>
    </xdr:from>
    <xdr:to>
      <xdr:col>122</xdr:col>
      <xdr:colOff>348252</xdr:colOff>
      <xdr:row>10</xdr:row>
      <xdr:rowOff>29602</xdr:rowOff>
    </xdr:to>
    <xdr:cxnSp macro="">
      <xdr:nvCxnSpPr>
        <xdr:cNvPr id="5452" name="MinuteMarker6_52">
          <a:extLst>
            <a:ext uri="{FF2B5EF4-FFF2-40B4-BE49-F238E27FC236}">
              <a16:creationId xmlns:a16="http://schemas.microsoft.com/office/drawing/2014/main" id="{E1356296-43F3-8232-8CE4-772B0E4A584B}"/>
            </a:ext>
          </a:extLst>
        </xdr:cNvPr>
        <xdr:cNvCxnSpPr/>
      </xdr:nvCxnSpPr>
      <xdr:spPr>
        <a:xfrm flipH="1" flipV="1">
          <a:off x="33794895" y="3247257"/>
          <a:ext cx="33732" cy="3037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378349</xdr:colOff>
      <xdr:row>9</xdr:row>
      <xdr:rowOff>344978</xdr:rowOff>
    </xdr:from>
    <xdr:to>
      <xdr:col>123</xdr:col>
      <xdr:colOff>27722</xdr:colOff>
      <xdr:row>9</xdr:row>
      <xdr:rowOff>378708</xdr:rowOff>
    </xdr:to>
    <xdr:cxnSp macro="">
      <xdr:nvCxnSpPr>
        <xdr:cNvPr id="5453" name="MinuteMarker6_53">
          <a:extLst>
            <a:ext uri="{FF2B5EF4-FFF2-40B4-BE49-F238E27FC236}">
              <a16:creationId xmlns:a16="http://schemas.microsoft.com/office/drawing/2014/main" id="{A40F5885-B67E-B3BA-F677-BF27E1038214}"/>
            </a:ext>
          </a:extLst>
        </xdr:cNvPr>
        <xdr:cNvCxnSpPr/>
      </xdr:nvCxnSpPr>
      <xdr:spPr>
        <a:xfrm flipH="1" flipV="1">
          <a:off x="33858724" y="3183428"/>
          <a:ext cx="30373" cy="3373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67500</xdr:colOff>
      <xdr:row>9</xdr:row>
      <xdr:rowOff>288171</xdr:rowOff>
    </xdr:from>
    <xdr:to>
      <xdr:col>123</xdr:col>
      <xdr:colOff>94180</xdr:colOff>
      <xdr:row>9</xdr:row>
      <xdr:rowOff>324891</xdr:rowOff>
    </xdr:to>
    <xdr:cxnSp macro="">
      <xdr:nvCxnSpPr>
        <xdr:cNvPr id="5454" name="MinuteMarker6_54">
          <a:extLst>
            <a:ext uri="{FF2B5EF4-FFF2-40B4-BE49-F238E27FC236}">
              <a16:creationId xmlns:a16="http://schemas.microsoft.com/office/drawing/2014/main" id="{3A1CD985-B213-86F6-4262-4772AE1EC7A6}"/>
            </a:ext>
          </a:extLst>
        </xdr:cNvPr>
        <xdr:cNvCxnSpPr/>
      </xdr:nvCxnSpPr>
      <xdr:spPr>
        <a:xfrm flipH="1" flipV="1">
          <a:off x="33928875" y="3126621"/>
          <a:ext cx="26680" cy="3672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147743</xdr:colOff>
      <xdr:row>9</xdr:row>
      <xdr:rowOff>246869</xdr:rowOff>
    </xdr:from>
    <xdr:to>
      <xdr:col>123</xdr:col>
      <xdr:colOff>174978</xdr:colOff>
      <xdr:row>9</xdr:row>
      <xdr:rowOff>294038</xdr:rowOff>
    </xdr:to>
    <xdr:cxnSp macro="">
      <xdr:nvCxnSpPr>
        <xdr:cNvPr id="5455" name="MinuteMarker6_55">
          <a:extLst>
            <a:ext uri="{FF2B5EF4-FFF2-40B4-BE49-F238E27FC236}">
              <a16:creationId xmlns:a16="http://schemas.microsoft.com/office/drawing/2014/main" id="{7F9A3BB8-0DDB-2F7E-5224-4F190E665136}"/>
            </a:ext>
          </a:extLst>
        </xdr:cNvPr>
        <xdr:cNvCxnSpPr/>
      </xdr:nvCxnSpPr>
      <xdr:spPr>
        <a:xfrm>
          <a:off x="34009118" y="3085319"/>
          <a:ext cx="27235" cy="47169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223633</xdr:colOff>
      <xdr:row>9</xdr:row>
      <xdr:rowOff>198027</xdr:rowOff>
    </xdr:from>
    <xdr:to>
      <xdr:col>123</xdr:col>
      <xdr:colOff>242097</xdr:colOff>
      <xdr:row>9</xdr:row>
      <xdr:rowOff>239492</xdr:rowOff>
    </xdr:to>
    <xdr:cxnSp macro="">
      <xdr:nvCxnSpPr>
        <xdr:cNvPr id="5456" name="MinuteMarker6_56">
          <a:extLst>
            <a:ext uri="{FF2B5EF4-FFF2-40B4-BE49-F238E27FC236}">
              <a16:creationId xmlns:a16="http://schemas.microsoft.com/office/drawing/2014/main" id="{1239B893-63FA-7532-5063-74454A9E0F8E}"/>
            </a:ext>
          </a:extLst>
        </xdr:cNvPr>
        <xdr:cNvCxnSpPr/>
      </xdr:nvCxnSpPr>
      <xdr:spPr>
        <a:xfrm flipH="1" flipV="1">
          <a:off x="34085008" y="3036477"/>
          <a:ext cx="18464" cy="4146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307907</xdr:colOff>
      <xdr:row>9</xdr:row>
      <xdr:rowOff>165678</xdr:rowOff>
    </xdr:from>
    <xdr:to>
      <xdr:col>123</xdr:col>
      <xdr:colOff>321931</xdr:colOff>
      <xdr:row>9</xdr:row>
      <xdr:rowOff>208845</xdr:rowOff>
    </xdr:to>
    <xdr:cxnSp macro="">
      <xdr:nvCxnSpPr>
        <xdr:cNvPr id="5457" name="MinuteMarker6_57">
          <a:extLst>
            <a:ext uri="{FF2B5EF4-FFF2-40B4-BE49-F238E27FC236}">
              <a16:creationId xmlns:a16="http://schemas.microsoft.com/office/drawing/2014/main" id="{72D53847-A3DF-8AFC-A9F1-F76BD182DD92}"/>
            </a:ext>
          </a:extLst>
        </xdr:cNvPr>
        <xdr:cNvCxnSpPr/>
      </xdr:nvCxnSpPr>
      <xdr:spPr>
        <a:xfrm flipH="1" flipV="1">
          <a:off x="34169282" y="3004128"/>
          <a:ext cx="14024" cy="4316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124</xdr:col>
      <xdr:colOff>14098</xdr:colOff>
      <xdr:row>9</xdr:row>
      <xdr:rowOff>142315</xdr:rowOff>
    </xdr:from>
    <xdr:to>
      <xdr:col>124</xdr:col>
      <xdr:colOff>23533</xdr:colOff>
      <xdr:row>9</xdr:row>
      <xdr:rowOff>186712</xdr:rowOff>
    </xdr:to>
    <xdr:cxnSp macro="">
      <xdr:nvCxnSpPr>
        <xdr:cNvPr id="5458" name="MinuteMarker6_58">
          <a:extLst>
            <a:ext uri="{FF2B5EF4-FFF2-40B4-BE49-F238E27FC236}">
              <a16:creationId xmlns:a16="http://schemas.microsoft.com/office/drawing/2014/main" id="{E951B911-214B-A733-447E-E54C9E5EDE06}"/>
            </a:ext>
          </a:extLst>
        </xdr:cNvPr>
        <xdr:cNvCxnSpPr/>
      </xdr:nvCxnSpPr>
      <xdr:spPr>
        <a:xfrm flipH="1" flipV="1">
          <a:off x="34256473" y="2980765"/>
          <a:ext cx="9435" cy="4439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124</xdr:col>
      <xdr:colOff>103253</xdr:colOff>
      <xdr:row>9</xdr:row>
      <xdr:rowOff>128195</xdr:rowOff>
    </xdr:from>
    <xdr:to>
      <xdr:col>124</xdr:col>
      <xdr:colOff>108000</xdr:colOff>
      <xdr:row>9</xdr:row>
      <xdr:rowOff>173334</xdr:rowOff>
    </xdr:to>
    <xdr:cxnSp macro="">
      <xdr:nvCxnSpPr>
        <xdr:cNvPr id="5459" name="MinuteMarker6_59">
          <a:extLst>
            <a:ext uri="{FF2B5EF4-FFF2-40B4-BE49-F238E27FC236}">
              <a16:creationId xmlns:a16="http://schemas.microsoft.com/office/drawing/2014/main" id="{79FF8884-2D28-7E5F-5680-B7317ADEBDBA}"/>
            </a:ext>
          </a:extLst>
        </xdr:cNvPr>
        <xdr:cNvCxnSpPr/>
      </xdr:nvCxnSpPr>
      <xdr:spPr>
        <a:xfrm flipH="1" flipV="1">
          <a:off x="34345628" y="2966645"/>
          <a:ext cx="4747" cy="45139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193396</xdr:colOff>
      <xdr:row>17</xdr:row>
      <xdr:rowOff>142062</xdr:rowOff>
    </xdr:from>
    <xdr:to>
      <xdr:col>114</xdr:col>
      <xdr:colOff>193396</xdr:colOff>
      <xdr:row>17</xdr:row>
      <xdr:rowOff>196528</xdr:rowOff>
    </xdr:to>
    <xdr:cxnSp macro="">
      <xdr:nvCxnSpPr>
        <xdr:cNvPr id="5462" name="MinuteMarker7_0">
          <a:extLst>
            <a:ext uri="{FF2B5EF4-FFF2-40B4-BE49-F238E27FC236}">
              <a16:creationId xmlns:a16="http://schemas.microsoft.com/office/drawing/2014/main" id="{FCA83BFC-0477-8469-A017-555D70234E59}"/>
            </a:ext>
          </a:extLst>
        </xdr:cNvPr>
        <xdr:cNvCxnSpPr/>
      </xdr:nvCxnSpPr>
      <xdr:spPr>
        <a:xfrm>
          <a:off x="30625771" y="5685612"/>
          <a:ext cx="0" cy="54466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278795</xdr:colOff>
      <xdr:row>17</xdr:row>
      <xdr:rowOff>137708</xdr:rowOff>
    </xdr:from>
    <xdr:to>
      <xdr:col>114</xdr:col>
      <xdr:colOff>283542</xdr:colOff>
      <xdr:row>17</xdr:row>
      <xdr:rowOff>182849</xdr:rowOff>
    </xdr:to>
    <xdr:cxnSp macro="">
      <xdr:nvCxnSpPr>
        <xdr:cNvPr id="5463" name="MinuteMarker7_1">
          <a:extLst>
            <a:ext uri="{FF2B5EF4-FFF2-40B4-BE49-F238E27FC236}">
              <a16:creationId xmlns:a16="http://schemas.microsoft.com/office/drawing/2014/main" id="{94AF9A80-00BD-DEC6-B539-D78F8E7D4176}"/>
            </a:ext>
          </a:extLst>
        </xdr:cNvPr>
        <xdr:cNvCxnSpPr/>
      </xdr:nvCxnSpPr>
      <xdr:spPr>
        <a:xfrm flipV="1">
          <a:off x="30711170" y="5681258"/>
          <a:ext cx="4747" cy="4514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363262</xdr:colOff>
      <xdr:row>17</xdr:row>
      <xdr:rowOff>151829</xdr:rowOff>
    </xdr:from>
    <xdr:to>
      <xdr:col>114</xdr:col>
      <xdr:colOff>372697</xdr:colOff>
      <xdr:row>17</xdr:row>
      <xdr:rowOff>196226</xdr:rowOff>
    </xdr:to>
    <xdr:cxnSp macro="">
      <xdr:nvCxnSpPr>
        <xdr:cNvPr id="5464" name="MinuteMarker7_2">
          <a:extLst>
            <a:ext uri="{FF2B5EF4-FFF2-40B4-BE49-F238E27FC236}">
              <a16:creationId xmlns:a16="http://schemas.microsoft.com/office/drawing/2014/main" id="{1E63BE12-5A1F-C85A-3520-0BBD60D67CBE}"/>
            </a:ext>
          </a:extLst>
        </xdr:cNvPr>
        <xdr:cNvCxnSpPr/>
      </xdr:nvCxnSpPr>
      <xdr:spPr>
        <a:xfrm flipV="1">
          <a:off x="30795637" y="5695379"/>
          <a:ext cx="9435" cy="4439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115</xdr:col>
      <xdr:colOff>64864</xdr:colOff>
      <xdr:row>17</xdr:row>
      <xdr:rowOff>175192</xdr:rowOff>
    </xdr:from>
    <xdr:to>
      <xdr:col>115</xdr:col>
      <xdr:colOff>78888</xdr:colOff>
      <xdr:row>17</xdr:row>
      <xdr:rowOff>218360</xdr:rowOff>
    </xdr:to>
    <xdr:cxnSp macro="">
      <xdr:nvCxnSpPr>
        <xdr:cNvPr id="5465" name="MinuteMarker7_3">
          <a:extLst>
            <a:ext uri="{FF2B5EF4-FFF2-40B4-BE49-F238E27FC236}">
              <a16:creationId xmlns:a16="http://schemas.microsoft.com/office/drawing/2014/main" id="{08AEB92B-A396-6AAC-6F0E-BE55600B0953}"/>
            </a:ext>
          </a:extLst>
        </xdr:cNvPr>
        <xdr:cNvCxnSpPr/>
      </xdr:nvCxnSpPr>
      <xdr:spPr>
        <a:xfrm flipV="1">
          <a:off x="30878239" y="5718742"/>
          <a:ext cx="14024" cy="43168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115</xdr:col>
      <xdr:colOff>144698</xdr:colOff>
      <xdr:row>17</xdr:row>
      <xdr:rowOff>207541</xdr:rowOff>
    </xdr:from>
    <xdr:to>
      <xdr:col>115</xdr:col>
      <xdr:colOff>163162</xdr:colOff>
      <xdr:row>17</xdr:row>
      <xdr:rowOff>249006</xdr:rowOff>
    </xdr:to>
    <xdr:cxnSp macro="">
      <xdr:nvCxnSpPr>
        <xdr:cNvPr id="5466" name="MinuteMarker7_4">
          <a:extLst>
            <a:ext uri="{FF2B5EF4-FFF2-40B4-BE49-F238E27FC236}">
              <a16:creationId xmlns:a16="http://schemas.microsoft.com/office/drawing/2014/main" id="{AC95E8DB-86A6-74D4-8FB7-1C3E60BFB576}"/>
            </a:ext>
          </a:extLst>
        </xdr:cNvPr>
        <xdr:cNvCxnSpPr/>
      </xdr:nvCxnSpPr>
      <xdr:spPr>
        <a:xfrm flipV="1">
          <a:off x="30958073" y="5751091"/>
          <a:ext cx="18464" cy="4146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115</xdr:col>
      <xdr:colOff>211817</xdr:colOff>
      <xdr:row>17</xdr:row>
      <xdr:rowOff>256383</xdr:rowOff>
    </xdr:from>
    <xdr:to>
      <xdr:col>115</xdr:col>
      <xdr:colOff>239052</xdr:colOff>
      <xdr:row>18</xdr:row>
      <xdr:rowOff>8277</xdr:rowOff>
    </xdr:to>
    <xdr:cxnSp macro="">
      <xdr:nvCxnSpPr>
        <xdr:cNvPr id="5467" name="MinuteMarker7_5">
          <a:extLst>
            <a:ext uri="{FF2B5EF4-FFF2-40B4-BE49-F238E27FC236}">
              <a16:creationId xmlns:a16="http://schemas.microsoft.com/office/drawing/2014/main" id="{AF6A53EC-4FFC-037E-3628-BD1BD9DE4073}"/>
            </a:ext>
          </a:extLst>
        </xdr:cNvPr>
        <xdr:cNvCxnSpPr/>
      </xdr:nvCxnSpPr>
      <xdr:spPr>
        <a:xfrm flipH="1">
          <a:off x="31025192" y="5799933"/>
          <a:ext cx="27235" cy="47169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115</xdr:col>
      <xdr:colOff>292615</xdr:colOff>
      <xdr:row>18</xdr:row>
      <xdr:rowOff>2410</xdr:rowOff>
    </xdr:from>
    <xdr:to>
      <xdr:col>115</xdr:col>
      <xdr:colOff>319295</xdr:colOff>
      <xdr:row>18</xdr:row>
      <xdr:rowOff>39130</xdr:rowOff>
    </xdr:to>
    <xdr:cxnSp macro="">
      <xdr:nvCxnSpPr>
        <xdr:cNvPr id="5468" name="MinuteMarker7_6">
          <a:extLst>
            <a:ext uri="{FF2B5EF4-FFF2-40B4-BE49-F238E27FC236}">
              <a16:creationId xmlns:a16="http://schemas.microsoft.com/office/drawing/2014/main" id="{0730C725-A568-556F-E76C-8A4CD1F80651}"/>
            </a:ext>
          </a:extLst>
        </xdr:cNvPr>
        <xdr:cNvCxnSpPr/>
      </xdr:nvCxnSpPr>
      <xdr:spPr>
        <a:xfrm flipV="1">
          <a:off x="31105990" y="5841235"/>
          <a:ext cx="26680" cy="3672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115</xdr:col>
      <xdr:colOff>359073</xdr:colOff>
      <xdr:row>18</xdr:row>
      <xdr:rowOff>59217</xdr:rowOff>
    </xdr:from>
    <xdr:to>
      <xdr:col>116</xdr:col>
      <xdr:colOff>8446</xdr:colOff>
      <xdr:row>18</xdr:row>
      <xdr:rowOff>92947</xdr:rowOff>
    </xdr:to>
    <xdr:cxnSp macro="">
      <xdr:nvCxnSpPr>
        <xdr:cNvPr id="5469" name="MinuteMarker7_7">
          <a:extLst>
            <a:ext uri="{FF2B5EF4-FFF2-40B4-BE49-F238E27FC236}">
              <a16:creationId xmlns:a16="http://schemas.microsoft.com/office/drawing/2014/main" id="{5B9FE97C-4651-0B34-23B7-B0F2400BA1BC}"/>
            </a:ext>
          </a:extLst>
        </xdr:cNvPr>
        <xdr:cNvCxnSpPr/>
      </xdr:nvCxnSpPr>
      <xdr:spPr>
        <a:xfrm flipV="1">
          <a:off x="31172448" y="5898042"/>
          <a:ext cx="30373" cy="3373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38543</xdr:colOff>
      <xdr:row>18</xdr:row>
      <xdr:rowOff>123046</xdr:rowOff>
    </xdr:from>
    <xdr:to>
      <xdr:col>116</xdr:col>
      <xdr:colOff>72275</xdr:colOff>
      <xdr:row>18</xdr:row>
      <xdr:rowOff>153417</xdr:rowOff>
    </xdr:to>
    <xdr:cxnSp macro="">
      <xdr:nvCxnSpPr>
        <xdr:cNvPr id="5470" name="MinuteMarker7_8">
          <a:extLst>
            <a:ext uri="{FF2B5EF4-FFF2-40B4-BE49-F238E27FC236}">
              <a16:creationId xmlns:a16="http://schemas.microsoft.com/office/drawing/2014/main" id="{23340458-3B7E-A817-E962-9DDB4BCD1F4A}"/>
            </a:ext>
          </a:extLst>
        </xdr:cNvPr>
        <xdr:cNvCxnSpPr/>
      </xdr:nvCxnSpPr>
      <xdr:spPr>
        <a:xfrm flipV="1">
          <a:off x="31232918" y="5961871"/>
          <a:ext cx="33732" cy="3037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92360</xdr:colOff>
      <xdr:row>18</xdr:row>
      <xdr:rowOff>193196</xdr:rowOff>
    </xdr:from>
    <xdr:to>
      <xdr:col>116</xdr:col>
      <xdr:colOff>129080</xdr:colOff>
      <xdr:row>18</xdr:row>
      <xdr:rowOff>219875</xdr:rowOff>
    </xdr:to>
    <xdr:cxnSp macro="">
      <xdr:nvCxnSpPr>
        <xdr:cNvPr id="5471" name="MinuteMarker7_9">
          <a:extLst>
            <a:ext uri="{FF2B5EF4-FFF2-40B4-BE49-F238E27FC236}">
              <a16:creationId xmlns:a16="http://schemas.microsoft.com/office/drawing/2014/main" id="{97766F3A-B213-8C2E-7824-DB89EAFDA70E}"/>
            </a:ext>
          </a:extLst>
        </xdr:cNvPr>
        <xdr:cNvCxnSpPr/>
      </xdr:nvCxnSpPr>
      <xdr:spPr>
        <a:xfrm flipV="1">
          <a:off x="31286735" y="6032021"/>
          <a:ext cx="36720" cy="26679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123214</xdr:colOff>
      <xdr:row>18</xdr:row>
      <xdr:rowOff>273440</xdr:rowOff>
    </xdr:from>
    <xdr:to>
      <xdr:col>116</xdr:col>
      <xdr:colOff>170383</xdr:colOff>
      <xdr:row>18</xdr:row>
      <xdr:rowOff>300673</xdr:rowOff>
    </xdr:to>
    <xdr:cxnSp macro="">
      <xdr:nvCxnSpPr>
        <xdr:cNvPr id="5472" name="MinuteMarker7_10">
          <a:extLst>
            <a:ext uri="{FF2B5EF4-FFF2-40B4-BE49-F238E27FC236}">
              <a16:creationId xmlns:a16="http://schemas.microsoft.com/office/drawing/2014/main" id="{5D9EC1B9-5DF8-EAA4-D62F-071469A600D8}"/>
            </a:ext>
          </a:extLst>
        </xdr:cNvPr>
        <xdr:cNvCxnSpPr/>
      </xdr:nvCxnSpPr>
      <xdr:spPr>
        <a:xfrm flipH="1">
          <a:off x="31317589" y="6112265"/>
          <a:ext cx="47169" cy="27233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177760</xdr:colOff>
      <xdr:row>18</xdr:row>
      <xdr:rowOff>349330</xdr:rowOff>
    </xdr:from>
    <xdr:to>
      <xdr:col>116</xdr:col>
      <xdr:colOff>219224</xdr:colOff>
      <xdr:row>18</xdr:row>
      <xdr:rowOff>367791</xdr:rowOff>
    </xdr:to>
    <xdr:cxnSp macro="">
      <xdr:nvCxnSpPr>
        <xdr:cNvPr id="5473" name="MinuteMarker7_11">
          <a:extLst>
            <a:ext uri="{FF2B5EF4-FFF2-40B4-BE49-F238E27FC236}">
              <a16:creationId xmlns:a16="http://schemas.microsoft.com/office/drawing/2014/main" id="{CB1F9029-23B1-23E1-9D67-13ABE1EB99E6}"/>
            </a:ext>
          </a:extLst>
        </xdr:cNvPr>
        <xdr:cNvCxnSpPr/>
      </xdr:nvCxnSpPr>
      <xdr:spPr>
        <a:xfrm flipV="1">
          <a:off x="31372135" y="6188155"/>
          <a:ext cx="41464" cy="1846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208406</xdr:colOff>
      <xdr:row>19</xdr:row>
      <xdr:rowOff>24027</xdr:rowOff>
    </xdr:from>
    <xdr:to>
      <xdr:col>116</xdr:col>
      <xdr:colOff>251572</xdr:colOff>
      <xdr:row>19</xdr:row>
      <xdr:rowOff>38053</xdr:rowOff>
    </xdr:to>
    <xdr:cxnSp macro="">
      <xdr:nvCxnSpPr>
        <xdr:cNvPr id="5474" name="MinuteMarker7_12">
          <a:extLst>
            <a:ext uri="{FF2B5EF4-FFF2-40B4-BE49-F238E27FC236}">
              <a16:creationId xmlns:a16="http://schemas.microsoft.com/office/drawing/2014/main" id="{5CC9349B-7C25-E2DC-80B6-9348F1C51FB8}"/>
            </a:ext>
          </a:extLst>
        </xdr:cNvPr>
        <xdr:cNvCxnSpPr/>
      </xdr:nvCxnSpPr>
      <xdr:spPr>
        <a:xfrm flipV="1">
          <a:off x="31402781" y="6272427"/>
          <a:ext cx="43166" cy="14026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230541</xdr:colOff>
      <xdr:row>19</xdr:row>
      <xdr:rowOff>111218</xdr:rowOff>
    </xdr:from>
    <xdr:to>
      <xdr:col>116</xdr:col>
      <xdr:colOff>274935</xdr:colOff>
      <xdr:row>19</xdr:row>
      <xdr:rowOff>120655</xdr:rowOff>
    </xdr:to>
    <xdr:cxnSp macro="">
      <xdr:nvCxnSpPr>
        <xdr:cNvPr id="5475" name="MinuteMarker7_13">
          <a:extLst>
            <a:ext uri="{FF2B5EF4-FFF2-40B4-BE49-F238E27FC236}">
              <a16:creationId xmlns:a16="http://schemas.microsoft.com/office/drawing/2014/main" id="{A444F1C5-4C1D-C5A7-2931-392CA03E15CC}"/>
            </a:ext>
          </a:extLst>
        </xdr:cNvPr>
        <xdr:cNvCxnSpPr/>
      </xdr:nvCxnSpPr>
      <xdr:spPr>
        <a:xfrm flipV="1">
          <a:off x="31424916" y="6359618"/>
          <a:ext cx="44394" cy="943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243917</xdr:colOff>
      <xdr:row>19</xdr:row>
      <xdr:rowOff>200374</xdr:rowOff>
    </xdr:from>
    <xdr:to>
      <xdr:col>116</xdr:col>
      <xdr:colOff>289058</xdr:colOff>
      <xdr:row>19</xdr:row>
      <xdr:rowOff>205119</xdr:rowOff>
    </xdr:to>
    <xdr:cxnSp macro="">
      <xdr:nvCxnSpPr>
        <xdr:cNvPr id="5476" name="MinuteMarker7_14">
          <a:extLst>
            <a:ext uri="{FF2B5EF4-FFF2-40B4-BE49-F238E27FC236}">
              <a16:creationId xmlns:a16="http://schemas.microsoft.com/office/drawing/2014/main" id="{F4746107-C26D-4F9C-D691-9C536D613ECC}"/>
            </a:ext>
          </a:extLst>
        </xdr:cNvPr>
        <xdr:cNvCxnSpPr/>
      </xdr:nvCxnSpPr>
      <xdr:spPr>
        <a:xfrm flipV="1">
          <a:off x="31438292" y="6448774"/>
          <a:ext cx="45141" cy="474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230237</xdr:colOff>
      <xdr:row>19</xdr:row>
      <xdr:rowOff>290518</xdr:rowOff>
    </xdr:from>
    <xdr:to>
      <xdr:col>116</xdr:col>
      <xdr:colOff>284705</xdr:colOff>
      <xdr:row>19</xdr:row>
      <xdr:rowOff>290518</xdr:rowOff>
    </xdr:to>
    <xdr:cxnSp macro="">
      <xdr:nvCxnSpPr>
        <xdr:cNvPr id="5477" name="MinuteMarker7_15">
          <a:extLst>
            <a:ext uri="{FF2B5EF4-FFF2-40B4-BE49-F238E27FC236}">
              <a16:creationId xmlns:a16="http://schemas.microsoft.com/office/drawing/2014/main" id="{98475F28-C934-D4C7-72FC-75440DE12B61}"/>
            </a:ext>
          </a:extLst>
        </xdr:cNvPr>
        <xdr:cNvCxnSpPr/>
      </xdr:nvCxnSpPr>
      <xdr:spPr>
        <a:xfrm flipH="1">
          <a:off x="31424612" y="6538918"/>
          <a:ext cx="54468" cy="0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243917</xdr:colOff>
      <xdr:row>20</xdr:row>
      <xdr:rowOff>80642</xdr:rowOff>
    </xdr:from>
    <xdr:to>
      <xdr:col>116</xdr:col>
      <xdr:colOff>289058</xdr:colOff>
      <xdr:row>20</xdr:row>
      <xdr:rowOff>85387</xdr:rowOff>
    </xdr:to>
    <xdr:cxnSp macro="">
      <xdr:nvCxnSpPr>
        <xdr:cNvPr id="5478" name="MinuteMarker7_16">
          <a:extLst>
            <a:ext uri="{FF2B5EF4-FFF2-40B4-BE49-F238E27FC236}">
              <a16:creationId xmlns:a16="http://schemas.microsoft.com/office/drawing/2014/main" id="{C27E2801-FF3F-4246-FBF1-87F3F5E6A955}"/>
            </a:ext>
          </a:extLst>
        </xdr:cNvPr>
        <xdr:cNvCxnSpPr/>
      </xdr:nvCxnSpPr>
      <xdr:spPr>
        <a:xfrm>
          <a:off x="31438292" y="6624317"/>
          <a:ext cx="45141" cy="474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230541</xdr:colOff>
      <xdr:row>20</xdr:row>
      <xdr:rowOff>165106</xdr:rowOff>
    </xdr:from>
    <xdr:to>
      <xdr:col>116</xdr:col>
      <xdr:colOff>274935</xdr:colOff>
      <xdr:row>20</xdr:row>
      <xdr:rowOff>174543</xdr:rowOff>
    </xdr:to>
    <xdr:cxnSp macro="">
      <xdr:nvCxnSpPr>
        <xdr:cNvPr id="5479" name="MinuteMarker7_17">
          <a:extLst>
            <a:ext uri="{FF2B5EF4-FFF2-40B4-BE49-F238E27FC236}">
              <a16:creationId xmlns:a16="http://schemas.microsoft.com/office/drawing/2014/main" id="{F6CEAAE5-B552-FA16-A3A2-039DA97A2D0A}"/>
            </a:ext>
          </a:extLst>
        </xdr:cNvPr>
        <xdr:cNvCxnSpPr/>
      </xdr:nvCxnSpPr>
      <xdr:spPr>
        <a:xfrm>
          <a:off x="31424916" y="6708781"/>
          <a:ext cx="44394" cy="943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208406</xdr:colOff>
      <xdr:row>20</xdr:row>
      <xdr:rowOff>247708</xdr:rowOff>
    </xdr:from>
    <xdr:to>
      <xdr:col>116</xdr:col>
      <xdr:colOff>251572</xdr:colOff>
      <xdr:row>20</xdr:row>
      <xdr:rowOff>261734</xdr:rowOff>
    </xdr:to>
    <xdr:cxnSp macro="">
      <xdr:nvCxnSpPr>
        <xdr:cNvPr id="5480" name="MinuteMarker7_18">
          <a:extLst>
            <a:ext uri="{FF2B5EF4-FFF2-40B4-BE49-F238E27FC236}">
              <a16:creationId xmlns:a16="http://schemas.microsoft.com/office/drawing/2014/main" id="{EFF419D6-A8C3-16AC-AA10-1E1DC455468E}"/>
            </a:ext>
          </a:extLst>
        </xdr:cNvPr>
        <xdr:cNvCxnSpPr/>
      </xdr:nvCxnSpPr>
      <xdr:spPr>
        <a:xfrm>
          <a:off x="31402781" y="6791383"/>
          <a:ext cx="43166" cy="14026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177760</xdr:colOff>
      <xdr:row>21</xdr:row>
      <xdr:rowOff>32270</xdr:rowOff>
    </xdr:from>
    <xdr:to>
      <xdr:col>116</xdr:col>
      <xdr:colOff>219224</xdr:colOff>
      <xdr:row>21</xdr:row>
      <xdr:rowOff>50731</xdr:rowOff>
    </xdr:to>
    <xdr:cxnSp macro="">
      <xdr:nvCxnSpPr>
        <xdr:cNvPr id="5481" name="MinuteMarker7_19">
          <a:extLst>
            <a:ext uri="{FF2B5EF4-FFF2-40B4-BE49-F238E27FC236}">
              <a16:creationId xmlns:a16="http://schemas.microsoft.com/office/drawing/2014/main" id="{D4E9F9FE-81A3-A854-0876-EF3DA3BD43D2}"/>
            </a:ext>
          </a:extLst>
        </xdr:cNvPr>
        <xdr:cNvCxnSpPr/>
      </xdr:nvCxnSpPr>
      <xdr:spPr>
        <a:xfrm>
          <a:off x="31372135" y="6871220"/>
          <a:ext cx="41464" cy="1846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123214</xdr:colOff>
      <xdr:row>21</xdr:row>
      <xdr:rowOff>99388</xdr:rowOff>
    </xdr:from>
    <xdr:to>
      <xdr:col>116</xdr:col>
      <xdr:colOff>170383</xdr:colOff>
      <xdr:row>21</xdr:row>
      <xdr:rowOff>126621</xdr:rowOff>
    </xdr:to>
    <xdr:cxnSp macro="">
      <xdr:nvCxnSpPr>
        <xdr:cNvPr id="5482" name="MinuteMarker7_20">
          <a:extLst>
            <a:ext uri="{FF2B5EF4-FFF2-40B4-BE49-F238E27FC236}">
              <a16:creationId xmlns:a16="http://schemas.microsoft.com/office/drawing/2014/main" id="{A4DEEB10-ACEF-7A5B-4AF7-83934EB31112}"/>
            </a:ext>
          </a:extLst>
        </xdr:cNvPr>
        <xdr:cNvCxnSpPr/>
      </xdr:nvCxnSpPr>
      <xdr:spPr>
        <a:xfrm flipH="1" flipV="1">
          <a:off x="31317589" y="6938338"/>
          <a:ext cx="47169" cy="27233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92360</xdr:colOff>
      <xdr:row>21</xdr:row>
      <xdr:rowOff>180186</xdr:rowOff>
    </xdr:from>
    <xdr:to>
      <xdr:col>116</xdr:col>
      <xdr:colOff>129080</xdr:colOff>
      <xdr:row>21</xdr:row>
      <xdr:rowOff>206865</xdr:rowOff>
    </xdr:to>
    <xdr:cxnSp macro="">
      <xdr:nvCxnSpPr>
        <xdr:cNvPr id="5483" name="MinuteMarker7_21">
          <a:extLst>
            <a:ext uri="{FF2B5EF4-FFF2-40B4-BE49-F238E27FC236}">
              <a16:creationId xmlns:a16="http://schemas.microsoft.com/office/drawing/2014/main" id="{0829B214-53D9-1453-8E9D-C7BCAA9C2616}"/>
            </a:ext>
          </a:extLst>
        </xdr:cNvPr>
        <xdr:cNvCxnSpPr/>
      </xdr:nvCxnSpPr>
      <xdr:spPr>
        <a:xfrm>
          <a:off x="31286735" y="7019136"/>
          <a:ext cx="36720" cy="26679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38543</xdr:colOff>
      <xdr:row>21</xdr:row>
      <xdr:rowOff>246645</xdr:rowOff>
    </xdr:from>
    <xdr:to>
      <xdr:col>116</xdr:col>
      <xdr:colOff>72275</xdr:colOff>
      <xdr:row>21</xdr:row>
      <xdr:rowOff>277016</xdr:rowOff>
    </xdr:to>
    <xdr:cxnSp macro="">
      <xdr:nvCxnSpPr>
        <xdr:cNvPr id="5484" name="MinuteMarker7_22">
          <a:extLst>
            <a:ext uri="{FF2B5EF4-FFF2-40B4-BE49-F238E27FC236}">
              <a16:creationId xmlns:a16="http://schemas.microsoft.com/office/drawing/2014/main" id="{95AF3C00-7739-E5BE-A907-9EB1977C1BA1}"/>
            </a:ext>
          </a:extLst>
        </xdr:cNvPr>
        <xdr:cNvCxnSpPr/>
      </xdr:nvCxnSpPr>
      <xdr:spPr>
        <a:xfrm>
          <a:off x="31232918" y="7085595"/>
          <a:ext cx="33732" cy="3037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115</xdr:col>
      <xdr:colOff>359073</xdr:colOff>
      <xdr:row>21</xdr:row>
      <xdr:rowOff>307114</xdr:rowOff>
    </xdr:from>
    <xdr:to>
      <xdr:col>116</xdr:col>
      <xdr:colOff>8446</xdr:colOff>
      <xdr:row>21</xdr:row>
      <xdr:rowOff>340844</xdr:rowOff>
    </xdr:to>
    <xdr:cxnSp macro="">
      <xdr:nvCxnSpPr>
        <xdr:cNvPr id="5485" name="MinuteMarker7_23">
          <a:extLst>
            <a:ext uri="{FF2B5EF4-FFF2-40B4-BE49-F238E27FC236}">
              <a16:creationId xmlns:a16="http://schemas.microsoft.com/office/drawing/2014/main" id="{A217E78C-1451-D88F-4208-A44024B8DC03}"/>
            </a:ext>
          </a:extLst>
        </xdr:cNvPr>
        <xdr:cNvCxnSpPr/>
      </xdr:nvCxnSpPr>
      <xdr:spPr>
        <a:xfrm>
          <a:off x="31172448" y="7146064"/>
          <a:ext cx="30373" cy="3373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115</xdr:col>
      <xdr:colOff>292615</xdr:colOff>
      <xdr:row>21</xdr:row>
      <xdr:rowOff>360931</xdr:rowOff>
    </xdr:from>
    <xdr:to>
      <xdr:col>115</xdr:col>
      <xdr:colOff>319295</xdr:colOff>
      <xdr:row>21</xdr:row>
      <xdr:rowOff>397651</xdr:rowOff>
    </xdr:to>
    <xdr:cxnSp macro="">
      <xdr:nvCxnSpPr>
        <xdr:cNvPr id="5486" name="MinuteMarker7_24">
          <a:extLst>
            <a:ext uri="{FF2B5EF4-FFF2-40B4-BE49-F238E27FC236}">
              <a16:creationId xmlns:a16="http://schemas.microsoft.com/office/drawing/2014/main" id="{89B01B80-07E0-B296-F63C-FA84E3F439AA}"/>
            </a:ext>
          </a:extLst>
        </xdr:cNvPr>
        <xdr:cNvCxnSpPr/>
      </xdr:nvCxnSpPr>
      <xdr:spPr>
        <a:xfrm>
          <a:off x="31105990" y="7199881"/>
          <a:ext cx="26680" cy="3672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115</xdr:col>
      <xdr:colOff>211817</xdr:colOff>
      <xdr:row>21</xdr:row>
      <xdr:rowOff>391784</xdr:rowOff>
    </xdr:from>
    <xdr:to>
      <xdr:col>115</xdr:col>
      <xdr:colOff>239052</xdr:colOff>
      <xdr:row>22</xdr:row>
      <xdr:rowOff>29378</xdr:rowOff>
    </xdr:to>
    <xdr:cxnSp macro="">
      <xdr:nvCxnSpPr>
        <xdr:cNvPr id="5487" name="MinuteMarker7_25">
          <a:extLst>
            <a:ext uri="{FF2B5EF4-FFF2-40B4-BE49-F238E27FC236}">
              <a16:creationId xmlns:a16="http://schemas.microsoft.com/office/drawing/2014/main" id="{0BCC3235-4F64-6BEB-5368-8EAAB083DD5F}"/>
            </a:ext>
          </a:extLst>
        </xdr:cNvPr>
        <xdr:cNvCxnSpPr/>
      </xdr:nvCxnSpPr>
      <xdr:spPr>
        <a:xfrm flipH="1" flipV="1">
          <a:off x="31025192" y="7230734"/>
          <a:ext cx="27235" cy="47169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115</xdr:col>
      <xdr:colOff>144698</xdr:colOff>
      <xdr:row>22</xdr:row>
      <xdr:rowOff>36755</xdr:rowOff>
    </xdr:from>
    <xdr:to>
      <xdr:col>115</xdr:col>
      <xdr:colOff>163162</xdr:colOff>
      <xdr:row>22</xdr:row>
      <xdr:rowOff>78220</xdr:rowOff>
    </xdr:to>
    <xdr:cxnSp macro="">
      <xdr:nvCxnSpPr>
        <xdr:cNvPr id="5488" name="MinuteMarker7_26">
          <a:extLst>
            <a:ext uri="{FF2B5EF4-FFF2-40B4-BE49-F238E27FC236}">
              <a16:creationId xmlns:a16="http://schemas.microsoft.com/office/drawing/2014/main" id="{66E5CF11-4957-4B3B-6A64-8A7411E9FB0B}"/>
            </a:ext>
          </a:extLst>
        </xdr:cNvPr>
        <xdr:cNvCxnSpPr/>
      </xdr:nvCxnSpPr>
      <xdr:spPr>
        <a:xfrm>
          <a:off x="30958073" y="7285280"/>
          <a:ext cx="18464" cy="4146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115</xdr:col>
      <xdr:colOff>64864</xdr:colOff>
      <xdr:row>22</xdr:row>
      <xdr:rowOff>67401</xdr:rowOff>
    </xdr:from>
    <xdr:to>
      <xdr:col>115</xdr:col>
      <xdr:colOff>78888</xdr:colOff>
      <xdr:row>22</xdr:row>
      <xdr:rowOff>110568</xdr:rowOff>
    </xdr:to>
    <xdr:cxnSp macro="">
      <xdr:nvCxnSpPr>
        <xdr:cNvPr id="5489" name="MinuteMarker7_27">
          <a:extLst>
            <a:ext uri="{FF2B5EF4-FFF2-40B4-BE49-F238E27FC236}">
              <a16:creationId xmlns:a16="http://schemas.microsoft.com/office/drawing/2014/main" id="{11242622-045D-7F8D-7D5C-AA12F25377EE}"/>
            </a:ext>
          </a:extLst>
        </xdr:cNvPr>
        <xdr:cNvCxnSpPr/>
      </xdr:nvCxnSpPr>
      <xdr:spPr>
        <a:xfrm>
          <a:off x="30878239" y="7315926"/>
          <a:ext cx="14024" cy="4316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363262</xdr:colOff>
      <xdr:row>22</xdr:row>
      <xdr:rowOff>89535</xdr:rowOff>
    </xdr:from>
    <xdr:to>
      <xdr:col>114</xdr:col>
      <xdr:colOff>372697</xdr:colOff>
      <xdr:row>22</xdr:row>
      <xdr:rowOff>133931</xdr:rowOff>
    </xdr:to>
    <xdr:cxnSp macro="">
      <xdr:nvCxnSpPr>
        <xdr:cNvPr id="5490" name="MinuteMarker7_28">
          <a:extLst>
            <a:ext uri="{FF2B5EF4-FFF2-40B4-BE49-F238E27FC236}">
              <a16:creationId xmlns:a16="http://schemas.microsoft.com/office/drawing/2014/main" id="{A62FB62C-5316-A33C-6FB3-333E05E42D33}"/>
            </a:ext>
          </a:extLst>
        </xdr:cNvPr>
        <xdr:cNvCxnSpPr/>
      </xdr:nvCxnSpPr>
      <xdr:spPr>
        <a:xfrm>
          <a:off x="30795637" y="7338060"/>
          <a:ext cx="9435" cy="44396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278795</xdr:colOff>
      <xdr:row>22</xdr:row>
      <xdr:rowOff>102912</xdr:rowOff>
    </xdr:from>
    <xdr:to>
      <xdr:col>114</xdr:col>
      <xdr:colOff>283542</xdr:colOff>
      <xdr:row>22</xdr:row>
      <xdr:rowOff>148053</xdr:rowOff>
    </xdr:to>
    <xdr:cxnSp macro="">
      <xdr:nvCxnSpPr>
        <xdr:cNvPr id="5491" name="MinuteMarker7_29">
          <a:extLst>
            <a:ext uri="{FF2B5EF4-FFF2-40B4-BE49-F238E27FC236}">
              <a16:creationId xmlns:a16="http://schemas.microsoft.com/office/drawing/2014/main" id="{F908D0AB-5686-6665-9A3E-C12B25AD7669}"/>
            </a:ext>
          </a:extLst>
        </xdr:cNvPr>
        <xdr:cNvCxnSpPr/>
      </xdr:nvCxnSpPr>
      <xdr:spPr>
        <a:xfrm>
          <a:off x="30711170" y="7351437"/>
          <a:ext cx="4747" cy="4514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193396</xdr:colOff>
      <xdr:row>22</xdr:row>
      <xdr:rowOff>89233</xdr:rowOff>
    </xdr:from>
    <xdr:to>
      <xdr:col>114</xdr:col>
      <xdr:colOff>193396</xdr:colOff>
      <xdr:row>22</xdr:row>
      <xdr:rowOff>143699</xdr:rowOff>
    </xdr:to>
    <xdr:cxnSp macro="">
      <xdr:nvCxnSpPr>
        <xdr:cNvPr id="5492" name="MinuteMarker7_30">
          <a:extLst>
            <a:ext uri="{FF2B5EF4-FFF2-40B4-BE49-F238E27FC236}">
              <a16:creationId xmlns:a16="http://schemas.microsoft.com/office/drawing/2014/main" id="{C80232F0-2911-3F0C-3696-7A9753C0114A}"/>
            </a:ext>
          </a:extLst>
        </xdr:cNvPr>
        <xdr:cNvCxnSpPr/>
      </xdr:nvCxnSpPr>
      <xdr:spPr>
        <a:xfrm flipV="1">
          <a:off x="30625771" y="7337758"/>
          <a:ext cx="0" cy="54466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103253</xdr:colOff>
      <xdr:row>22</xdr:row>
      <xdr:rowOff>102912</xdr:rowOff>
    </xdr:from>
    <xdr:to>
      <xdr:col>114</xdr:col>
      <xdr:colOff>108000</xdr:colOff>
      <xdr:row>22</xdr:row>
      <xdr:rowOff>148053</xdr:rowOff>
    </xdr:to>
    <xdr:cxnSp macro="">
      <xdr:nvCxnSpPr>
        <xdr:cNvPr id="5493" name="MinuteMarker7_31">
          <a:extLst>
            <a:ext uri="{FF2B5EF4-FFF2-40B4-BE49-F238E27FC236}">
              <a16:creationId xmlns:a16="http://schemas.microsoft.com/office/drawing/2014/main" id="{34F41F43-F8DB-98B1-8608-0862445736A3}"/>
            </a:ext>
          </a:extLst>
        </xdr:cNvPr>
        <xdr:cNvCxnSpPr/>
      </xdr:nvCxnSpPr>
      <xdr:spPr>
        <a:xfrm flipH="1">
          <a:off x="30535628" y="7351437"/>
          <a:ext cx="4747" cy="4514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14098</xdr:colOff>
      <xdr:row>22</xdr:row>
      <xdr:rowOff>89535</xdr:rowOff>
    </xdr:from>
    <xdr:to>
      <xdr:col>114</xdr:col>
      <xdr:colOff>23533</xdr:colOff>
      <xdr:row>22</xdr:row>
      <xdr:rowOff>133931</xdr:rowOff>
    </xdr:to>
    <xdr:cxnSp macro="">
      <xdr:nvCxnSpPr>
        <xdr:cNvPr id="5494" name="MinuteMarker7_32">
          <a:extLst>
            <a:ext uri="{FF2B5EF4-FFF2-40B4-BE49-F238E27FC236}">
              <a16:creationId xmlns:a16="http://schemas.microsoft.com/office/drawing/2014/main" id="{0574BEDA-7951-9DCC-2D89-59E14F364177}"/>
            </a:ext>
          </a:extLst>
        </xdr:cNvPr>
        <xdr:cNvCxnSpPr/>
      </xdr:nvCxnSpPr>
      <xdr:spPr>
        <a:xfrm flipH="1">
          <a:off x="30446473" y="7338060"/>
          <a:ext cx="9435" cy="44396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307907</xdr:colOff>
      <xdr:row>22</xdr:row>
      <xdr:rowOff>67401</xdr:rowOff>
    </xdr:from>
    <xdr:to>
      <xdr:col>113</xdr:col>
      <xdr:colOff>321931</xdr:colOff>
      <xdr:row>22</xdr:row>
      <xdr:rowOff>110568</xdr:rowOff>
    </xdr:to>
    <xdr:cxnSp macro="">
      <xdr:nvCxnSpPr>
        <xdr:cNvPr id="5495" name="MinuteMarker7_33">
          <a:extLst>
            <a:ext uri="{FF2B5EF4-FFF2-40B4-BE49-F238E27FC236}">
              <a16:creationId xmlns:a16="http://schemas.microsoft.com/office/drawing/2014/main" id="{26A6194D-8E63-F07F-5ADB-55D576C9F342}"/>
            </a:ext>
          </a:extLst>
        </xdr:cNvPr>
        <xdr:cNvCxnSpPr/>
      </xdr:nvCxnSpPr>
      <xdr:spPr>
        <a:xfrm flipH="1">
          <a:off x="30359282" y="7315926"/>
          <a:ext cx="14024" cy="4316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223633</xdr:colOff>
      <xdr:row>22</xdr:row>
      <xdr:rowOff>36755</xdr:rowOff>
    </xdr:from>
    <xdr:to>
      <xdr:col>113</xdr:col>
      <xdr:colOff>242097</xdr:colOff>
      <xdr:row>22</xdr:row>
      <xdr:rowOff>78220</xdr:rowOff>
    </xdr:to>
    <xdr:cxnSp macro="">
      <xdr:nvCxnSpPr>
        <xdr:cNvPr id="5496" name="MinuteMarker7_34">
          <a:extLst>
            <a:ext uri="{FF2B5EF4-FFF2-40B4-BE49-F238E27FC236}">
              <a16:creationId xmlns:a16="http://schemas.microsoft.com/office/drawing/2014/main" id="{DCDBEB89-CA65-6BDB-E76C-7E288B468123}"/>
            </a:ext>
          </a:extLst>
        </xdr:cNvPr>
        <xdr:cNvCxnSpPr/>
      </xdr:nvCxnSpPr>
      <xdr:spPr>
        <a:xfrm flipH="1">
          <a:off x="30275008" y="7285280"/>
          <a:ext cx="18464" cy="4146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147743</xdr:colOff>
      <xdr:row>21</xdr:row>
      <xdr:rowOff>391784</xdr:rowOff>
    </xdr:from>
    <xdr:to>
      <xdr:col>113</xdr:col>
      <xdr:colOff>174978</xdr:colOff>
      <xdr:row>22</xdr:row>
      <xdr:rowOff>29378</xdr:rowOff>
    </xdr:to>
    <xdr:cxnSp macro="">
      <xdr:nvCxnSpPr>
        <xdr:cNvPr id="5497" name="MinuteMarker7_35">
          <a:extLst>
            <a:ext uri="{FF2B5EF4-FFF2-40B4-BE49-F238E27FC236}">
              <a16:creationId xmlns:a16="http://schemas.microsoft.com/office/drawing/2014/main" id="{ADADA95B-D658-919F-6BE9-9B96E6EF0E44}"/>
            </a:ext>
          </a:extLst>
        </xdr:cNvPr>
        <xdr:cNvCxnSpPr/>
      </xdr:nvCxnSpPr>
      <xdr:spPr>
        <a:xfrm flipV="1">
          <a:off x="30199118" y="7230734"/>
          <a:ext cx="27235" cy="47169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67500</xdr:colOff>
      <xdr:row>21</xdr:row>
      <xdr:rowOff>360931</xdr:rowOff>
    </xdr:from>
    <xdr:to>
      <xdr:col>113</xdr:col>
      <xdr:colOff>94180</xdr:colOff>
      <xdr:row>21</xdr:row>
      <xdr:rowOff>397651</xdr:rowOff>
    </xdr:to>
    <xdr:cxnSp macro="">
      <xdr:nvCxnSpPr>
        <xdr:cNvPr id="5498" name="MinuteMarker7_36">
          <a:extLst>
            <a:ext uri="{FF2B5EF4-FFF2-40B4-BE49-F238E27FC236}">
              <a16:creationId xmlns:a16="http://schemas.microsoft.com/office/drawing/2014/main" id="{ABC5BCED-62CA-B70E-C479-03DBBCA0226A}"/>
            </a:ext>
          </a:extLst>
        </xdr:cNvPr>
        <xdr:cNvCxnSpPr/>
      </xdr:nvCxnSpPr>
      <xdr:spPr>
        <a:xfrm flipH="1">
          <a:off x="30118875" y="7199881"/>
          <a:ext cx="26680" cy="3672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378349</xdr:colOff>
      <xdr:row>21</xdr:row>
      <xdr:rowOff>307114</xdr:rowOff>
    </xdr:from>
    <xdr:to>
      <xdr:col>113</xdr:col>
      <xdr:colOff>27722</xdr:colOff>
      <xdr:row>21</xdr:row>
      <xdr:rowOff>340844</xdr:rowOff>
    </xdr:to>
    <xdr:cxnSp macro="">
      <xdr:nvCxnSpPr>
        <xdr:cNvPr id="5499" name="MinuteMarker7_37">
          <a:extLst>
            <a:ext uri="{FF2B5EF4-FFF2-40B4-BE49-F238E27FC236}">
              <a16:creationId xmlns:a16="http://schemas.microsoft.com/office/drawing/2014/main" id="{DB3B3408-543D-92E7-401D-AFD4527D132D}"/>
            </a:ext>
          </a:extLst>
        </xdr:cNvPr>
        <xdr:cNvCxnSpPr/>
      </xdr:nvCxnSpPr>
      <xdr:spPr>
        <a:xfrm flipH="1">
          <a:off x="30048724" y="7146064"/>
          <a:ext cx="30373" cy="3373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314520</xdr:colOff>
      <xdr:row>21</xdr:row>
      <xdr:rowOff>246645</xdr:rowOff>
    </xdr:from>
    <xdr:to>
      <xdr:col>112</xdr:col>
      <xdr:colOff>348252</xdr:colOff>
      <xdr:row>21</xdr:row>
      <xdr:rowOff>277016</xdr:rowOff>
    </xdr:to>
    <xdr:cxnSp macro="">
      <xdr:nvCxnSpPr>
        <xdr:cNvPr id="5500" name="MinuteMarker7_38">
          <a:extLst>
            <a:ext uri="{FF2B5EF4-FFF2-40B4-BE49-F238E27FC236}">
              <a16:creationId xmlns:a16="http://schemas.microsoft.com/office/drawing/2014/main" id="{44422905-3D98-F240-BA9D-B1C65D42B4C8}"/>
            </a:ext>
          </a:extLst>
        </xdr:cNvPr>
        <xdr:cNvCxnSpPr/>
      </xdr:nvCxnSpPr>
      <xdr:spPr>
        <a:xfrm flipH="1">
          <a:off x="29984895" y="7085595"/>
          <a:ext cx="33732" cy="3037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257715</xdr:colOff>
      <xdr:row>21</xdr:row>
      <xdr:rowOff>180186</xdr:rowOff>
    </xdr:from>
    <xdr:to>
      <xdr:col>112</xdr:col>
      <xdr:colOff>294435</xdr:colOff>
      <xdr:row>21</xdr:row>
      <xdr:rowOff>206865</xdr:rowOff>
    </xdr:to>
    <xdr:cxnSp macro="">
      <xdr:nvCxnSpPr>
        <xdr:cNvPr id="5501" name="MinuteMarker7_39">
          <a:extLst>
            <a:ext uri="{FF2B5EF4-FFF2-40B4-BE49-F238E27FC236}">
              <a16:creationId xmlns:a16="http://schemas.microsoft.com/office/drawing/2014/main" id="{B48A8A8A-5714-86D3-AAEE-61C75ECC93EA}"/>
            </a:ext>
          </a:extLst>
        </xdr:cNvPr>
        <xdr:cNvCxnSpPr/>
      </xdr:nvCxnSpPr>
      <xdr:spPr>
        <a:xfrm flipH="1">
          <a:off x="29928090" y="7019136"/>
          <a:ext cx="36720" cy="26679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216412</xdr:colOff>
      <xdr:row>21</xdr:row>
      <xdr:rowOff>99388</xdr:rowOff>
    </xdr:from>
    <xdr:to>
      <xdr:col>112</xdr:col>
      <xdr:colOff>263581</xdr:colOff>
      <xdr:row>21</xdr:row>
      <xdr:rowOff>126621</xdr:rowOff>
    </xdr:to>
    <xdr:cxnSp macro="">
      <xdr:nvCxnSpPr>
        <xdr:cNvPr id="5502" name="MinuteMarker7_40">
          <a:extLst>
            <a:ext uri="{FF2B5EF4-FFF2-40B4-BE49-F238E27FC236}">
              <a16:creationId xmlns:a16="http://schemas.microsoft.com/office/drawing/2014/main" id="{80E4BE84-8B6A-C086-D921-5AC023508191}"/>
            </a:ext>
          </a:extLst>
        </xdr:cNvPr>
        <xdr:cNvCxnSpPr/>
      </xdr:nvCxnSpPr>
      <xdr:spPr>
        <a:xfrm flipV="1">
          <a:off x="29886787" y="6938338"/>
          <a:ext cx="47169" cy="27233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167571</xdr:colOff>
      <xdr:row>21</xdr:row>
      <xdr:rowOff>32270</xdr:rowOff>
    </xdr:from>
    <xdr:to>
      <xdr:col>112</xdr:col>
      <xdr:colOff>209035</xdr:colOff>
      <xdr:row>21</xdr:row>
      <xdr:rowOff>50731</xdr:rowOff>
    </xdr:to>
    <xdr:cxnSp macro="">
      <xdr:nvCxnSpPr>
        <xdr:cNvPr id="5503" name="MinuteMarker7_41">
          <a:extLst>
            <a:ext uri="{FF2B5EF4-FFF2-40B4-BE49-F238E27FC236}">
              <a16:creationId xmlns:a16="http://schemas.microsoft.com/office/drawing/2014/main" id="{8108FBDE-A5F8-F804-C48F-3EC17B189B6D}"/>
            </a:ext>
          </a:extLst>
        </xdr:cNvPr>
        <xdr:cNvCxnSpPr/>
      </xdr:nvCxnSpPr>
      <xdr:spPr>
        <a:xfrm flipH="1">
          <a:off x="29837946" y="6871220"/>
          <a:ext cx="41464" cy="1846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135223</xdr:colOff>
      <xdr:row>20</xdr:row>
      <xdr:rowOff>247708</xdr:rowOff>
    </xdr:from>
    <xdr:to>
      <xdr:col>112</xdr:col>
      <xdr:colOff>178389</xdr:colOff>
      <xdr:row>20</xdr:row>
      <xdr:rowOff>261734</xdr:rowOff>
    </xdr:to>
    <xdr:cxnSp macro="">
      <xdr:nvCxnSpPr>
        <xdr:cNvPr id="5504" name="MinuteMarker7_42">
          <a:extLst>
            <a:ext uri="{FF2B5EF4-FFF2-40B4-BE49-F238E27FC236}">
              <a16:creationId xmlns:a16="http://schemas.microsoft.com/office/drawing/2014/main" id="{3A30E695-2218-9634-5B96-CDD12BEBE442}"/>
            </a:ext>
          </a:extLst>
        </xdr:cNvPr>
        <xdr:cNvCxnSpPr/>
      </xdr:nvCxnSpPr>
      <xdr:spPr>
        <a:xfrm flipH="1">
          <a:off x="29805598" y="6791383"/>
          <a:ext cx="43166" cy="14026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111860</xdr:colOff>
      <xdr:row>20</xdr:row>
      <xdr:rowOff>165106</xdr:rowOff>
    </xdr:from>
    <xdr:to>
      <xdr:col>112</xdr:col>
      <xdr:colOff>156254</xdr:colOff>
      <xdr:row>20</xdr:row>
      <xdr:rowOff>174543</xdr:rowOff>
    </xdr:to>
    <xdr:cxnSp macro="">
      <xdr:nvCxnSpPr>
        <xdr:cNvPr id="5505" name="MinuteMarker7_43">
          <a:extLst>
            <a:ext uri="{FF2B5EF4-FFF2-40B4-BE49-F238E27FC236}">
              <a16:creationId xmlns:a16="http://schemas.microsoft.com/office/drawing/2014/main" id="{C62FC3F5-7AF7-3494-E6A2-40D5EC0A1FC8}"/>
            </a:ext>
          </a:extLst>
        </xdr:cNvPr>
        <xdr:cNvCxnSpPr/>
      </xdr:nvCxnSpPr>
      <xdr:spPr>
        <a:xfrm flipH="1">
          <a:off x="29782235" y="6708781"/>
          <a:ext cx="44394" cy="943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97737</xdr:colOff>
      <xdr:row>20</xdr:row>
      <xdr:rowOff>80642</xdr:rowOff>
    </xdr:from>
    <xdr:to>
      <xdr:col>112</xdr:col>
      <xdr:colOff>142878</xdr:colOff>
      <xdr:row>20</xdr:row>
      <xdr:rowOff>85387</xdr:rowOff>
    </xdr:to>
    <xdr:cxnSp macro="">
      <xdr:nvCxnSpPr>
        <xdr:cNvPr id="5506" name="MinuteMarker7_44">
          <a:extLst>
            <a:ext uri="{FF2B5EF4-FFF2-40B4-BE49-F238E27FC236}">
              <a16:creationId xmlns:a16="http://schemas.microsoft.com/office/drawing/2014/main" id="{B315232E-4443-5452-CD98-5E15228710B4}"/>
            </a:ext>
          </a:extLst>
        </xdr:cNvPr>
        <xdr:cNvCxnSpPr/>
      </xdr:nvCxnSpPr>
      <xdr:spPr>
        <a:xfrm flipH="1">
          <a:off x="29768112" y="6624317"/>
          <a:ext cx="45141" cy="474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102090</xdr:colOff>
      <xdr:row>19</xdr:row>
      <xdr:rowOff>290518</xdr:rowOff>
    </xdr:from>
    <xdr:to>
      <xdr:col>112</xdr:col>
      <xdr:colOff>156558</xdr:colOff>
      <xdr:row>19</xdr:row>
      <xdr:rowOff>290518</xdr:rowOff>
    </xdr:to>
    <xdr:cxnSp macro="">
      <xdr:nvCxnSpPr>
        <xdr:cNvPr id="5507" name="MinuteMarker7_45">
          <a:extLst>
            <a:ext uri="{FF2B5EF4-FFF2-40B4-BE49-F238E27FC236}">
              <a16:creationId xmlns:a16="http://schemas.microsoft.com/office/drawing/2014/main" id="{C5B5FF8B-74BC-C334-87A1-5BA3FD189D65}"/>
            </a:ext>
          </a:extLst>
        </xdr:cNvPr>
        <xdr:cNvCxnSpPr/>
      </xdr:nvCxnSpPr>
      <xdr:spPr>
        <a:xfrm>
          <a:off x="29772465" y="6538918"/>
          <a:ext cx="54468" cy="0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97737</xdr:colOff>
      <xdr:row>19</xdr:row>
      <xdr:rowOff>200374</xdr:rowOff>
    </xdr:from>
    <xdr:to>
      <xdr:col>112</xdr:col>
      <xdr:colOff>142878</xdr:colOff>
      <xdr:row>19</xdr:row>
      <xdr:rowOff>205119</xdr:rowOff>
    </xdr:to>
    <xdr:cxnSp macro="">
      <xdr:nvCxnSpPr>
        <xdr:cNvPr id="5508" name="MinuteMarker7_46">
          <a:extLst>
            <a:ext uri="{FF2B5EF4-FFF2-40B4-BE49-F238E27FC236}">
              <a16:creationId xmlns:a16="http://schemas.microsoft.com/office/drawing/2014/main" id="{D76C12B2-2E28-11CB-A5C2-D13CD36C56E7}"/>
            </a:ext>
          </a:extLst>
        </xdr:cNvPr>
        <xdr:cNvCxnSpPr/>
      </xdr:nvCxnSpPr>
      <xdr:spPr>
        <a:xfrm flipH="1" flipV="1">
          <a:off x="29768112" y="6448774"/>
          <a:ext cx="45141" cy="474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111860</xdr:colOff>
      <xdr:row>19</xdr:row>
      <xdr:rowOff>111218</xdr:rowOff>
    </xdr:from>
    <xdr:to>
      <xdr:col>112</xdr:col>
      <xdr:colOff>156254</xdr:colOff>
      <xdr:row>19</xdr:row>
      <xdr:rowOff>120655</xdr:rowOff>
    </xdr:to>
    <xdr:cxnSp macro="">
      <xdr:nvCxnSpPr>
        <xdr:cNvPr id="5509" name="MinuteMarker7_47">
          <a:extLst>
            <a:ext uri="{FF2B5EF4-FFF2-40B4-BE49-F238E27FC236}">
              <a16:creationId xmlns:a16="http://schemas.microsoft.com/office/drawing/2014/main" id="{A0F48566-CE8C-9F7E-6E77-D209FB70C355}"/>
            </a:ext>
          </a:extLst>
        </xdr:cNvPr>
        <xdr:cNvCxnSpPr/>
      </xdr:nvCxnSpPr>
      <xdr:spPr>
        <a:xfrm flipH="1" flipV="1">
          <a:off x="29782235" y="6359618"/>
          <a:ext cx="44394" cy="943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135223</xdr:colOff>
      <xdr:row>19</xdr:row>
      <xdr:rowOff>24027</xdr:rowOff>
    </xdr:from>
    <xdr:to>
      <xdr:col>112</xdr:col>
      <xdr:colOff>178389</xdr:colOff>
      <xdr:row>19</xdr:row>
      <xdr:rowOff>38053</xdr:rowOff>
    </xdr:to>
    <xdr:cxnSp macro="">
      <xdr:nvCxnSpPr>
        <xdr:cNvPr id="5510" name="MinuteMarker7_48">
          <a:extLst>
            <a:ext uri="{FF2B5EF4-FFF2-40B4-BE49-F238E27FC236}">
              <a16:creationId xmlns:a16="http://schemas.microsoft.com/office/drawing/2014/main" id="{DEF46829-3BAF-2C2A-CBF3-6AA20E9B09E0}"/>
            </a:ext>
          </a:extLst>
        </xdr:cNvPr>
        <xdr:cNvCxnSpPr/>
      </xdr:nvCxnSpPr>
      <xdr:spPr>
        <a:xfrm flipH="1" flipV="1">
          <a:off x="29805598" y="6272427"/>
          <a:ext cx="43166" cy="14026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167571</xdr:colOff>
      <xdr:row>18</xdr:row>
      <xdr:rowOff>349330</xdr:rowOff>
    </xdr:from>
    <xdr:to>
      <xdr:col>112</xdr:col>
      <xdr:colOff>209035</xdr:colOff>
      <xdr:row>18</xdr:row>
      <xdr:rowOff>367791</xdr:rowOff>
    </xdr:to>
    <xdr:cxnSp macro="">
      <xdr:nvCxnSpPr>
        <xdr:cNvPr id="5511" name="MinuteMarker7_49">
          <a:extLst>
            <a:ext uri="{FF2B5EF4-FFF2-40B4-BE49-F238E27FC236}">
              <a16:creationId xmlns:a16="http://schemas.microsoft.com/office/drawing/2014/main" id="{1A1C631B-0BC0-38E7-D1B5-103BE5E70841}"/>
            </a:ext>
          </a:extLst>
        </xdr:cNvPr>
        <xdr:cNvCxnSpPr/>
      </xdr:nvCxnSpPr>
      <xdr:spPr>
        <a:xfrm flipH="1" flipV="1">
          <a:off x="29837946" y="6188155"/>
          <a:ext cx="41464" cy="1846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216412</xdr:colOff>
      <xdr:row>18</xdr:row>
      <xdr:rowOff>273440</xdr:rowOff>
    </xdr:from>
    <xdr:to>
      <xdr:col>112</xdr:col>
      <xdr:colOff>263581</xdr:colOff>
      <xdr:row>18</xdr:row>
      <xdr:rowOff>300673</xdr:rowOff>
    </xdr:to>
    <xdr:cxnSp macro="">
      <xdr:nvCxnSpPr>
        <xdr:cNvPr id="5512" name="MinuteMarker7_50">
          <a:extLst>
            <a:ext uri="{FF2B5EF4-FFF2-40B4-BE49-F238E27FC236}">
              <a16:creationId xmlns:a16="http://schemas.microsoft.com/office/drawing/2014/main" id="{857B24F9-B9EF-90E5-399C-0905DDC35FDB}"/>
            </a:ext>
          </a:extLst>
        </xdr:cNvPr>
        <xdr:cNvCxnSpPr/>
      </xdr:nvCxnSpPr>
      <xdr:spPr>
        <a:xfrm>
          <a:off x="29886787" y="6112265"/>
          <a:ext cx="47169" cy="27233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257715</xdr:colOff>
      <xdr:row>18</xdr:row>
      <xdr:rowOff>193196</xdr:rowOff>
    </xdr:from>
    <xdr:to>
      <xdr:col>112</xdr:col>
      <xdr:colOff>294435</xdr:colOff>
      <xdr:row>18</xdr:row>
      <xdr:rowOff>219875</xdr:rowOff>
    </xdr:to>
    <xdr:cxnSp macro="">
      <xdr:nvCxnSpPr>
        <xdr:cNvPr id="5513" name="MinuteMarker7_51">
          <a:extLst>
            <a:ext uri="{FF2B5EF4-FFF2-40B4-BE49-F238E27FC236}">
              <a16:creationId xmlns:a16="http://schemas.microsoft.com/office/drawing/2014/main" id="{58A7A448-23E7-D666-6E1A-DD420CACEE9E}"/>
            </a:ext>
          </a:extLst>
        </xdr:cNvPr>
        <xdr:cNvCxnSpPr/>
      </xdr:nvCxnSpPr>
      <xdr:spPr>
        <a:xfrm flipH="1" flipV="1">
          <a:off x="29928090" y="6032021"/>
          <a:ext cx="36720" cy="26679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314520</xdr:colOff>
      <xdr:row>18</xdr:row>
      <xdr:rowOff>123046</xdr:rowOff>
    </xdr:from>
    <xdr:to>
      <xdr:col>112</xdr:col>
      <xdr:colOff>348252</xdr:colOff>
      <xdr:row>18</xdr:row>
      <xdr:rowOff>153417</xdr:rowOff>
    </xdr:to>
    <xdr:cxnSp macro="">
      <xdr:nvCxnSpPr>
        <xdr:cNvPr id="5514" name="MinuteMarker7_52">
          <a:extLst>
            <a:ext uri="{FF2B5EF4-FFF2-40B4-BE49-F238E27FC236}">
              <a16:creationId xmlns:a16="http://schemas.microsoft.com/office/drawing/2014/main" id="{0DD3D53D-8F75-2B7A-0987-7EC8BA7E0751}"/>
            </a:ext>
          </a:extLst>
        </xdr:cNvPr>
        <xdr:cNvCxnSpPr/>
      </xdr:nvCxnSpPr>
      <xdr:spPr>
        <a:xfrm flipH="1" flipV="1">
          <a:off x="29984895" y="5961871"/>
          <a:ext cx="33732" cy="3037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378349</xdr:colOff>
      <xdr:row>18</xdr:row>
      <xdr:rowOff>59217</xdr:rowOff>
    </xdr:from>
    <xdr:to>
      <xdr:col>113</xdr:col>
      <xdr:colOff>27722</xdr:colOff>
      <xdr:row>18</xdr:row>
      <xdr:rowOff>92947</xdr:rowOff>
    </xdr:to>
    <xdr:cxnSp macro="">
      <xdr:nvCxnSpPr>
        <xdr:cNvPr id="5515" name="MinuteMarker7_53">
          <a:extLst>
            <a:ext uri="{FF2B5EF4-FFF2-40B4-BE49-F238E27FC236}">
              <a16:creationId xmlns:a16="http://schemas.microsoft.com/office/drawing/2014/main" id="{2031E239-646D-21BB-E2E8-BE830F89333E}"/>
            </a:ext>
          </a:extLst>
        </xdr:cNvPr>
        <xdr:cNvCxnSpPr/>
      </xdr:nvCxnSpPr>
      <xdr:spPr>
        <a:xfrm flipH="1" flipV="1">
          <a:off x="30048724" y="5898042"/>
          <a:ext cx="30373" cy="3373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67500</xdr:colOff>
      <xdr:row>18</xdr:row>
      <xdr:rowOff>2410</xdr:rowOff>
    </xdr:from>
    <xdr:to>
      <xdr:col>113</xdr:col>
      <xdr:colOff>94180</xdr:colOff>
      <xdr:row>18</xdr:row>
      <xdr:rowOff>39130</xdr:rowOff>
    </xdr:to>
    <xdr:cxnSp macro="">
      <xdr:nvCxnSpPr>
        <xdr:cNvPr id="5516" name="MinuteMarker7_54">
          <a:extLst>
            <a:ext uri="{FF2B5EF4-FFF2-40B4-BE49-F238E27FC236}">
              <a16:creationId xmlns:a16="http://schemas.microsoft.com/office/drawing/2014/main" id="{25DB1E82-B0C2-9F46-B006-888C8AFB1841}"/>
            </a:ext>
          </a:extLst>
        </xdr:cNvPr>
        <xdr:cNvCxnSpPr/>
      </xdr:nvCxnSpPr>
      <xdr:spPr>
        <a:xfrm flipH="1" flipV="1">
          <a:off x="30118875" y="5841235"/>
          <a:ext cx="26680" cy="3672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147743</xdr:colOff>
      <xdr:row>17</xdr:row>
      <xdr:rowOff>256383</xdr:rowOff>
    </xdr:from>
    <xdr:to>
      <xdr:col>113</xdr:col>
      <xdr:colOff>174978</xdr:colOff>
      <xdr:row>18</xdr:row>
      <xdr:rowOff>8277</xdr:rowOff>
    </xdr:to>
    <xdr:cxnSp macro="">
      <xdr:nvCxnSpPr>
        <xdr:cNvPr id="5517" name="MinuteMarker7_55">
          <a:extLst>
            <a:ext uri="{FF2B5EF4-FFF2-40B4-BE49-F238E27FC236}">
              <a16:creationId xmlns:a16="http://schemas.microsoft.com/office/drawing/2014/main" id="{C05A1AFC-901D-ED6C-39F5-2DC0B4280C2C}"/>
            </a:ext>
          </a:extLst>
        </xdr:cNvPr>
        <xdr:cNvCxnSpPr/>
      </xdr:nvCxnSpPr>
      <xdr:spPr>
        <a:xfrm>
          <a:off x="30199118" y="5799933"/>
          <a:ext cx="27235" cy="47169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223633</xdr:colOff>
      <xdr:row>17</xdr:row>
      <xdr:rowOff>207541</xdr:rowOff>
    </xdr:from>
    <xdr:to>
      <xdr:col>113</xdr:col>
      <xdr:colOff>242097</xdr:colOff>
      <xdr:row>17</xdr:row>
      <xdr:rowOff>249006</xdr:rowOff>
    </xdr:to>
    <xdr:cxnSp macro="">
      <xdr:nvCxnSpPr>
        <xdr:cNvPr id="5518" name="MinuteMarker7_56">
          <a:extLst>
            <a:ext uri="{FF2B5EF4-FFF2-40B4-BE49-F238E27FC236}">
              <a16:creationId xmlns:a16="http://schemas.microsoft.com/office/drawing/2014/main" id="{8018061D-217F-A4E0-2E09-74DE0D9FBAD1}"/>
            </a:ext>
          </a:extLst>
        </xdr:cNvPr>
        <xdr:cNvCxnSpPr/>
      </xdr:nvCxnSpPr>
      <xdr:spPr>
        <a:xfrm flipH="1" flipV="1">
          <a:off x="30275008" y="5751091"/>
          <a:ext cx="18464" cy="4146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307907</xdr:colOff>
      <xdr:row>17</xdr:row>
      <xdr:rowOff>175192</xdr:rowOff>
    </xdr:from>
    <xdr:to>
      <xdr:col>113</xdr:col>
      <xdr:colOff>321931</xdr:colOff>
      <xdr:row>17</xdr:row>
      <xdr:rowOff>218360</xdr:rowOff>
    </xdr:to>
    <xdr:cxnSp macro="">
      <xdr:nvCxnSpPr>
        <xdr:cNvPr id="5519" name="MinuteMarker7_57">
          <a:extLst>
            <a:ext uri="{FF2B5EF4-FFF2-40B4-BE49-F238E27FC236}">
              <a16:creationId xmlns:a16="http://schemas.microsoft.com/office/drawing/2014/main" id="{72B9A2BE-DA13-5949-AF55-6B7924CD2F7C}"/>
            </a:ext>
          </a:extLst>
        </xdr:cNvPr>
        <xdr:cNvCxnSpPr/>
      </xdr:nvCxnSpPr>
      <xdr:spPr>
        <a:xfrm flipH="1" flipV="1">
          <a:off x="30359282" y="5718742"/>
          <a:ext cx="14024" cy="43168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14098</xdr:colOff>
      <xdr:row>17</xdr:row>
      <xdr:rowOff>151829</xdr:rowOff>
    </xdr:from>
    <xdr:to>
      <xdr:col>114</xdr:col>
      <xdr:colOff>23533</xdr:colOff>
      <xdr:row>17</xdr:row>
      <xdr:rowOff>196226</xdr:rowOff>
    </xdr:to>
    <xdr:cxnSp macro="">
      <xdr:nvCxnSpPr>
        <xdr:cNvPr id="5520" name="MinuteMarker7_58">
          <a:extLst>
            <a:ext uri="{FF2B5EF4-FFF2-40B4-BE49-F238E27FC236}">
              <a16:creationId xmlns:a16="http://schemas.microsoft.com/office/drawing/2014/main" id="{3DF51E3B-1967-C251-7F31-EDD2313AA60F}"/>
            </a:ext>
          </a:extLst>
        </xdr:cNvPr>
        <xdr:cNvCxnSpPr/>
      </xdr:nvCxnSpPr>
      <xdr:spPr>
        <a:xfrm flipH="1" flipV="1">
          <a:off x="30446473" y="5695379"/>
          <a:ext cx="9435" cy="4439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103253</xdr:colOff>
      <xdr:row>17</xdr:row>
      <xdr:rowOff>137708</xdr:rowOff>
    </xdr:from>
    <xdr:to>
      <xdr:col>114</xdr:col>
      <xdr:colOff>108000</xdr:colOff>
      <xdr:row>17</xdr:row>
      <xdr:rowOff>182849</xdr:rowOff>
    </xdr:to>
    <xdr:cxnSp macro="">
      <xdr:nvCxnSpPr>
        <xdr:cNvPr id="5521" name="MinuteMarker7_59">
          <a:extLst>
            <a:ext uri="{FF2B5EF4-FFF2-40B4-BE49-F238E27FC236}">
              <a16:creationId xmlns:a16="http://schemas.microsoft.com/office/drawing/2014/main" id="{0F99BDC6-0E0B-C3A1-9A8B-D5697DBE34DB}"/>
            </a:ext>
          </a:extLst>
        </xdr:cNvPr>
        <xdr:cNvCxnSpPr/>
      </xdr:nvCxnSpPr>
      <xdr:spPr>
        <a:xfrm flipH="1" flipV="1">
          <a:off x="30535628" y="5681258"/>
          <a:ext cx="4747" cy="4514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183871</xdr:colOff>
      <xdr:row>17</xdr:row>
      <xdr:rowOff>142073</xdr:rowOff>
    </xdr:from>
    <xdr:to>
      <xdr:col>119</xdr:col>
      <xdr:colOff>183871</xdr:colOff>
      <xdr:row>17</xdr:row>
      <xdr:rowOff>196539</xdr:rowOff>
    </xdr:to>
    <xdr:cxnSp macro="">
      <xdr:nvCxnSpPr>
        <xdr:cNvPr id="5524" name="MinuteMarker8_0">
          <a:extLst>
            <a:ext uri="{FF2B5EF4-FFF2-40B4-BE49-F238E27FC236}">
              <a16:creationId xmlns:a16="http://schemas.microsoft.com/office/drawing/2014/main" id="{4639ADD1-5D6E-D118-7C00-82862E07D80E}"/>
            </a:ext>
          </a:extLst>
        </xdr:cNvPr>
        <xdr:cNvCxnSpPr/>
      </xdr:nvCxnSpPr>
      <xdr:spPr>
        <a:xfrm>
          <a:off x="32521246" y="5685623"/>
          <a:ext cx="0" cy="54466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269270</xdr:colOff>
      <xdr:row>17</xdr:row>
      <xdr:rowOff>137719</xdr:rowOff>
    </xdr:from>
    <xdr:to>
      <xdr:col>119</xdr:col>
      <xdr:colOff>274017</xdr:colOff>
      <xdr:row>17</xdr:row>
      <xdr:rowOff>182859</xdr:rowOff>
    </xdr:to>
    <xdr:cxnSp macro="">
      <xdr:nvCxnSpPr>
        <xdr:cNvPr id="5525" name="MinuteMarker8_1">
          <a:extLst>
            <a:ext uri="{FF2B5EF4-FFF2-40B4-BE49-F238E27FC236}">
              <a16:creationId xmlns:a16="http://schemas.microsoft.com/office/drawing/2014/main" id="{80471404-A638-AA46-0EA2-E66E3C88B554}"/>
            </a:ext>
          </a:extLst>
        </xdr:cNvPr>
        <xdr:cNvCxnSpPr/>
      </xdr:nvCxnSpPr>
      <xdr:spPr>
        <a:xfrm flipV="1">
          <a:off x="32606645" y="5681269"/>
          <a:ext cx="4747" cy="4514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353737</xdr:colOff>
      <xdr:row>17</xdr:row>
      <xdr:rowOff>151840</xdr:rowOff>
    </xdr:from>
    <xdr:to>
      <xdr:col>119</xdr:col>
      <xdr:colOff>363172</xdr:colOff>
      <xdr:row>17</xdr:row>
      <xdr:rowOff>196237</xdr:rowOff>
    </xdr:to>
    <xdr:cxnSp macro="">
      <xdr:nvCxnSpPr>
        <xdr:cNvPr id="5526" name="MinuteMarker8_2">
          <a:extLst>
            <a:ext uri="{FF2B5EF4-FFF2-40B4-BE49-F238E27FC236}">
              <a16:creationId xmlns:a16="http://schemas.microsoft.com/office/drawing/2014/main" id="{3788942E-A1ED-1389-F73C-060887099CFB}"/>
            </a:ext>
          </a:extLst>
        </xdr:cNvPr>
        <xdr:cNvCxnSpPr/>
      </xdr:nvCxnSpPr>
      <xdr:spPr>
        <a:xfrm flipV="1">
          <a:off x="32691112" y="5695390"/>
          <a:ext cx="9435" cy="4439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120</xdr:col>
      <xdr:colOff>55339</xdr:colOff>
      <xdr:row>17</xdr:row>
      <xdr:rowOff>175203</xdr:rowOff>
    </xdr:from>
    <xdr:to>
      <xdr:col>120</xdr:col>
      <xdr:colOff>69363</xdr:colOff>
      <xdr:row>17</xdr:row>
      <xdr:rowOff>218370</xdr:rowOff>
    </xdr:to>
    <xdr:cxnSp macro="">
      <xdr:nvCxnSpPr>
        <xdr:cNvPr id="5527" name="MinuteMarker8_3">
          <a:extLst>
            <a:ext uri="{FF2B5EF4-FFF2-40B4-BE49-F238E27FC236}">
              <a16:creationId xmlns:a16="http://schemas.microsoft.com/office/drawing/2014/main" id="{E6EB7FD2-B442-CCE2-9CEB-C185C3E4E621}"/>
            </a:ext>
          </a:extLst>
        </xdr:cNvPr>
        <xdr:cNvCxnSpPr/>
      </xdr:nvCxnSpPr>
      <xdr:spPr>
        <a:xfrm flipV="1">
          <a:off x="32773714" y="5718753"/>
          <a:ext cx="14024" cy="4316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120</xdr:col>
      <xdr:colOff>135173</xdr:colOff>
      <xdr:row>17</xdr:row>
      <xdr:rowOff>207552</xdr:rowOff>
    </xdr:from>
    <xdr:to>
      <xdr:col>120</xdr:col>
      <xdr:colOff>153637</xdr:colOff>
      <xdr:row>17</xdr:row>
      <xdr:rowOff>249017</xdr:rowOff>
    </xdr:to>
    <xdr:cxnSp macro="">
      <xdr:nvCxnSpPr>
        <xdr:cNvPr id="5528" name="MinuteMarker8_4">
          <a:extLst>
            <a:ext uri="{FF2B5EF4-FFF2-40B4-BE49-F238E27FC236}">
              <a16:creationId xmlns:a16="http://schemas.microsoft.com/office/drawing/2014/main" id="{60F9D008-B7C7-4316-5B80-8C71EB6A2A79}"/>
            </a:ext>
          </a:extLst>
        </xdr:cNvPr>
        <xdr:cNvCxnSpPr/>
      </xdr:nvCxnSpPr>
      <xdr:spPr>
        <a:xfrm flipV="1">
          <a:off x="32853548" y="5751102"/>
          <a:ext cx="18464" cy="4146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120</xdr:col>
      <xdr:colOff>202292</xdr:colOff>
      <xdr:row>17</xdr:row>
      <xdr:rowOff>256394</xdr:rowOff>
    </xdr:from>
    <xdr:to>
      <xdr:col>120</xdr:col>
      <xdr:colOff>229527</xdr:colOff>
      <xdr:row>18</xdr:row>
      <xdr:rowOff>8288</xdr:rowOff>
    </xdr:to>
    <xdr:cxnSp macro="">
      <xdr:nvCxnSpPr>
        <xdr:cNvPr id="5529" name="MinuteMarker8_5">
          <a:extLst>
            <a:ext uri="{FF2B5EF4-FFF2-40B4-BE49-F238E27FC236}">
              <a16:creationId xmlns:a16="http://schemas.microsoft.com/office/drawing/2014/main" id="{7CBC0A16-F892-30A0-CE5C-272D26D4A438}"/>
            </a:ext>
          </a:extLst>
        </xdr:cNvPr>
        <xdr:cNvCxnSpPr/>
      </xdr:nvCxnSpPr>
      <xdr:spPr>
        <a:xfrm flipH="1">
          <a:off x="32920667" y="5799944"/>
          <a:ext cx="27235" cy="47169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120</xdr:col>
      <xdr:colOff>283090</xdr:colOff>
      <xdr:row>18</xdr:row>
      <xdr:rowOff>2421</xdr:rowOff>
    </xdr:from>
    <xdr:to>
      <xdr:col>120</xdr:col>
      <xdr:colOff>309770</xdr:colOff>
      <xdr:row>18</xdr:row>
      <xdr:rowOff>39141</xdr:rowOff>
    </xdr:to>
    <xdr:cxnSp macro="">
      <xdr:nvCxnSpPr>
        <xdr:cNvPr id="5530" name="MinuteMarker8_6">
          <a:extLst>
            <a:ext uri="{FF2B5EF4-FFF2-40B4-BE49-F238E27FC236}">
              <a16:creationId xmlns:a16="http://schemas.microsoft.com/office/drawing/2014/main" id="{6ACE4CB3-78E9-52CC-D412-A6CA12B5471E}"/>
            </a:ext>
          </a:extLst>
        </xdr:cNvPr>
        <xdr:cNvCxnSpPr/>
      </xdr:nvCxnSpPr>
      <xdr:spPr>
        <a:xfrm flipV="1">
          <a:off x="33001465" y="5841246"/>
          <a:ext cx="26680" cy="3672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120</xdr:col>
      <xdr:colOff>349548</xdr:colOff>
      <xdr:row>18</xdr:row>
      <xdr:rowOff>59228</xdr:rowOff>
    </xdr:from>
    <xdr:to>
      <xdr:col>120</xdr:col>
      <xdr:colOff>379921</xdr:colOff>
      <xdr:row>18</xdr:row>
      <xdr:rowOff>92958</xdr:rowOff>
    </xdr:to>
    <xdr:cxnSp macro="">
      <xdr:nvCxnSpPr>
        <xdr:cNvPr id="5531" name="MinuteMarker8_7">
          <a:extLst>
            <a:ext uri="{FF2B5EF4-FFF2-40B4-BE49-F238E27FC236}">
              <a16:creationId xmlns:a16="http://schemas.microsoft.com/office/drawing/2014/main" id="{0BA97CEF-656A-0F52-E001-86C30DFD577C}"/>
            </a:ext>
          </a:extLst>
        </xdr:cNvPr>
        <xdr:cNvCxnSpPr/>
      </xdr:nvCxnSpPr>
      <xdr:spPr>
        <a:xfrm flipV="1">
          <a:off x="33067923" y="5898053"/>
          <a:ext cx="30373" cy="3373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29018</xdr:colOff>
      <xdr:row>18</xdr:row>
      <xdr:rowOff>123056</xdr:rowOff>
    </xdr:from>
    <xdr:to>
      <xdr:col>121</xdr:col>
      <xdr:colOff>62750</xdr:colOff>
      <xdr:row>18</xdr:row>
      <xdr:rowOff>153427</xdr:rowOff>
    </xdr:to>
    <xdr:cxnSp macro="">
      <xdr:nvCxnSpPr>
        <xdr:cNvPr id="5532" name="MinuteMarker8_8">
          <a:extLst>
            <a:ext uri="{FF2B5EF4-FFF2-40B4-BE49-F238E27FC236}">
              <a16:creationId xmlns:a16="http://schemas.microsoft.com/office/drawing/2014/main" id="{2C94B705-A72E-7602-5E07-3821BBC547FA}"/>
            </a:ext>
          </a:extLst>
        </xdr:cNvPr>
        <xdr:cNvCxnSpPr/>
      </xdr:nvCxnSpPr>
      <xdr:spPr>
        <a:xfrm flipV="1">
          <a:off x="33128393" y="5961881"/>
          <a:ext cx="33732" cy="3037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82835</xdr:colOff>
      <xdr:row>18</xdr:row>
      <xdr:rowOff>193207</xdr:rowOff>
    </xdr:from>
    <xdr:to>
      <xdr:col>121</xdr:col>
      <xdr:colOff>119555</xdr:colOff>
      <xdr:row>18</xdr:row>
      <xdr:rowOff>219886</xdr:rowOff>
    </xdr:to>
    <xdr:cxnSp macro="">
      <xdr:nvCxnSpPr>
        <xdr:cNvPr id="5533" name="MinuteMarker8_9">
          <a:extLst>
            <a:ext uri="{FF2B5EF4-FFF2-40B4-BE49-F238E27FC236}">
              <a16:creationId xmlns:a16="http://schemas.microsoft.com/office/drawing/2014/main" id="{6ECF8BAA-E928-B03F-3F98-0D3AB8AB4A11}"/>
            </a:ext>
          </a:extLst>
        </xdr:cNvPr>
        <xdr:cNvCxnSpPr/>
      </xdr:nvCxnSpPr>
      <xdr:spPr>
        <a:xfrm flipV="1">
          <a:off x="33182210" y="6032032"/>
          <a:ext cx="36720" cy="26679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113689</xdr:colOff>
      <xdr:row>18</xdr:row>
      <xdr:rowOff>273451</xdr:rowOff>
    </xdr:from>
    <xdr:to>
      <xdr:col>121</xdr:col>
      <xdr:colOff>160858</xdr:colOff>
      <xdr:row>18</xdr:row>
      <xdr:rowOff>300684</xdr:rowOff>
    </xdr:to>
    <xdr:cxnSp macro="">
      <xdr:nvCxnSpPr>
        <xdr:cNvPr id="5534" name="MinuteMarker8_10">
          <a:extLst>
            <a:ext uri="{FF2B5EF4-FFF2-40B4-BE49-F238E27FC236}">
              <a16:creationId xmlns:a16="http://schemas.microsoft.com/office/drawing/2014/main" id="{6F58B486-3B79-4D20-AB2A-06CFD12AC49F}"/>
            </a:ext>
          </a:extLst>
        </xdr:cNvPr>
        <xdr:cNvCxnSpPr/>
      </xdr:nvCxnSpPr>
      <xdr:spPr>
        <a:xfrm flipH="1">
          <a:off x="33213064" y="6112276"/>
          <a:ext cx="47169" cy="27233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168235</xdr:colOff>
      <xdr:row>18</xdr:row>
      <xdr:rowOff>349341</xdr:rowOff>
    </xdr:from>
    <xdr:to>
      <xdr:col>121</xdr:col>
      <xdr:colOff>209699</xdr:colOff>
      <xdr:row>18</xdr:row>
      <xdr:rowOff>367802</xdr:rowOff>
    </xdr:to>
    <xdr:cxnSp macro="">
      <xdr:nvCxnSpPr>
        <xdr:cNvPr id="5535" name="MinuteMarker8_11">
          <a:extLst>
            <a:ext uri="{FF2B5EF4-FFF2-40B4-BE49-F238E27FC236}">
              <a16:creationId xmlns:a16="http://schemas.microsoft.com/office/drawing/2014/main" id="{63AA1BFD-C39F-6D34-0C80-EEA873F7F838}"/>
            </a:ext>
          </a:extLst>
        </xdr:cNvPr>
        <xdr:cNvCxnSpPr/>
      </xdr:nvCxnSpPr>
      <xdr:spPr>
        <a:xfrm flipV="1">
          <a:off x="33267610" y="6188166"/>
          <a:ext cx="41464" cy="1846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198881</xdr:colOff>
      <xdr:row>19</xdr:row>
      <xdr:rowOff>24038</xdr:rowOff>
    </xdr:from>
    <xdr:to>
      <xdr:col>121</xdr:col>
      <xdr:colOff>242047</xdr:colOff>
      <xdr:row>19</xdr:row>
      <xdr:rowOff>38064</xdr:rowOff>
    </xdr:to>
    <xdr:cxnSp macro="">
      <xdr:nvCxnSpPr>
        <xdr:cNvPr id="5536" name="MinuteMarker8_12">
          <a:extLst>
            <a:ext uri="{FF2B5EF4-FFF2-40B4-BE49-F238E27FC236}">
              <a16:creationId xmlns:a16="http://schemas.microsoft.com/office/drawing/2014/main" id="{FA4E8EF3-0186-9C7A-28E0-8B6CF851742A}"/>
            </a:ext>
          </a:extLst>
        </xdr:cNvPr>
        <xdr:cNvCxnSpPr/>
      </xdr:nvCxnSpPr>
      <xdr:spPr>
        <a:xfrm flipV="1">
          <a:off x="33298256" y="6272438"/>
          <a:ext cx="43166" cy="14026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221016</xdr:colOff>
      <xdr:row>19</xdr:row>
      <xdr:rowOff>111229</xdr:rowOff>
    </xdr:from>
    <xdr:to>
      <xdr:col>121</xdr:col>
      <xdr:colOff>265410</xdr:colOff>
      <xdr:row>19</xdr:row>
      <xdr:rowOff>120666</xdr:rowOff>
    </xdr:to>
    <xdr:cxnSp macro="">
      <xdr:nvCxnSpPr>
        <xdr:cNvPr id="5537" name="MinuteMarker8_13">
          <a:extLst>
            <a:ext uri="{FF2B5EF4-FFF2-40B4-BE49-F238E27FC236}">
              <a16:creationId xmlns:a16="http://schemas.microsoft.com/office/drawing/2014/main" id="{CEFF3106-953F-E064-FF8F-339F8D67F687}"/>
            </a:ext>
          </a:extLst>
        </xdr:cNvPr>
        <xdr:cNvCxnSpPr/>
      </xdr:nvCxnSpPr>
      <xdr:spPr>
        <a:xfrm flipV="1">
          <a:off x="33320391" y="6359629"/>
          <a:ext cx="44394" cy="943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234392</xdr:colOff>
      <xdr:row>19</xdr:row>
      <xdr:rowOff>200385</xdr:rowOff>
    </xdr:from>
    <xdr:to>
      <xdr:col>121</xdr:col>
      <xdr:colOff>279533</xdr:colOff>
      <xdr:row>19</xdr:row>
      <xdr:rowOff>205130</xdr:rowOff>
    </xdr:to>
    <xdr:cxnSp macro="">
      <xdr:nvCxnSpPr>
        <xdr:cNvPr id="5538" name="MinuteMarker8_14">
          <a:extLst>
            <a:ext uri="{FF2B5EF4-FFF2-40B4-BE49-F238E27FC236}">
              <a16:creationId xmlns:a16="http://schemas.microsoft.com/office/drawing/2014/main" id="{1D7C7FFA-A00D-A97D-B7EC-6A2F206EDB67}"/>
            </a:ext>
          </a:extLst>
        </xdr:cNvPr>
        <xdr:cNvCxnSpPr/>
      </xdr:nvCxnSpPr>
      <xdr:spPr>
        <a:xfrm flipV="1">
          <a:off x="33333767" y="6448785"/>
          <a:ext cx="45141" cy="474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220712</xdr:colOff>
      <xdr:row>19</xdr:row>
      <xdr:rowOff>290529</xdr:rowOff>
    </xdr:from>
    <xdr:to>
      <xdr:col>121</xdr:col>
      <xdr:colOff>275180</xdr:colOff>
      <xdr:row>19</xdr:row>
      <xdr:rowOff>290529</xdr:rowOff>
    </xdr:to>
    <xdr:cxnSp macro="">
      <xdr:nvCxnSpPr>
        <xdr:cNvPr id="5539" name="MinuteMarker8_15">
          <a:extLst>
            <a:ext uri="{FF2B5EF4-FFF2-40B4-BE49-F238E27FC236}">
              <a16:creationId xmlns:a16="http://schemas.microsoft.com/office/drawing/2014/main" id="{64F82DAB-DEBB-4E82-5CA0-EB298B9BE78B}"/>
            </a:ext>
          </a:extLst>
        </xdr:cNvPr>
        <xdr:cNvCxnSpPr/>
      </xdr:nvCxnSpPr>
      <xdr:spPr>
        <a:xfrm flipH="1">
          <a:off x="33320087" y="6538929"/>
          <a:ext cx="54468" cy="0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234392</xdr:colOff>
      <xdr:row>20</xdr:row>
      <xdr:rowOff>80653</xdr:rowOff>
    </xdr:from>
    <xdr:to>
      <xdr:col>121</xdr:col>
      <xdr:colOff>279533</xdr:colOff>
      <xdr:row>20</xdr:row>
      <xdr:rowOff>85398</xdr:rowOff>
    </xdr:to>
    <xdr:cxnSp macro="">
      <xdr:nvCxnSpPr>
        <xdr:cNvPr id="5540" name="MinuteMarker8_16">
          <a:extLst>
            <a:ext uri="{FF2B5EF4-FFF2-40B4-BE49-F238E27FC236}">
              <a16:creationId xmlns:a16="http://schemas.microsoft.com/office/drawing/2014/main" id="{3659C07E-DD3E-2A61-ACCA-D2FFF1DF7C09}"/>
            </a:ext>
          </a:extLst>
        </xdr:cNvPr>
        <xdr:cNvCxnSpPr/>
      </xdr:nvCxnSpPr>
      <xdr:spPr>
        <a:xfrm>
          <a:off x="33333767" y="6624328"/>
          <a:ext cx="45141" cy="474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221016</xdr:colOff>
      <xdr:row>20</xdr:row>
      <xdr:rowOff>165117</xdr:rowOff>
    </xdr:from>
    <xdr:to>
      <xdr:col>121</xdr:col>
      <xdr:colOff>265410</xdr:colOff>
      <xdr:row>20</xdr:row>
      <xdr:rowOff>174554</xdr:rowOff>
    </xdr:to>
    <xdr:cxnSp macro="">
      <xdr:nvCxnSpPr>
        <xdr:cNvPr id="5541" name="MinuteMarker8_17">
          <a:extLst>
            <a:ext uri="{FF2B5EF4-FFF2-40B4-BE49-F238E27FC236}">
              <a16:creationId xmlns:a16="http://schemas.microsoft.com/office/drawing/2014/main" id="{F43143E4-4F78-C76E-CBA9-065EA4428047}"/>
            </a:ext>
          </a:extLst>
        </xdr:cNvPr>
        <xdr:cNvCxnSpPr/>
      </xdr:nvCxnSpPr>
      <xdr:spPr>
        <a:xfrm>
          <a:off x="33320391" y="6708792"/>
          <a:ext cx="44394" cy="943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198881</xdr:colOff>
      <xdr:row>20</xdr:row>
      <xdr:rowOff>247719</xdr:rowOff>
    </xdr:from>
    <xdr:to>
      <xdr:col>121</xdr:col>
      <xdr:colOff>242047</xdr:colOff>
      <xdr:row>20</xdr:row>
      <xdr:rowOff>261745</xdr:rowOff>
    </xdr:to>
    <xdr:cxnSp macro="">
      <xdr:nvCxnSpPr>
        <xdr:cNvPr id="5542" name="MinuteMarker8_18">
          <a:extLst>
            <a:ext uri="{FF2B5EF4-FFF2-40B4-BE49-F238E27FC236}">
              <a16:creationId xmlns:a16="http://schemas.microsoft.com/office/drawing/2014/main" id="{799A9E66-C3F3-9D0D-3F7E-2667D0BA4B5F}"/>
            </a:ext>
          </a:extLst>
        </xdr:cNvPr>
        <xdr:cNvCxnSpPr/>
      </xdr:nvCxnSpPr>
      <xdr:spPr>
        <a:xfrm>
          <a:off x="33298256" y="6791394"/>
          <a:ext cx="43166" cy="14026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168235</xdr:colOff>
      <xdr:row>21</xdr:row>
      <xdr:rowOff>32281</xdr:rowOff>
    </xdr:from>
    <xdr:to>
      <xdr:col>121</xdr:col>
      <xdr:colOff>209699</xdr:colOff>
      <xdr:row>21</xdr:row>
      <xdr:rowOff>50742</xdr:rowOff>
    </xdr:to>
    <xdr:cxnSp macro="">
      <xdr:nvCxnSpPr>
        <xdr:cNvPr id="5543" name="MinuteMarker8_19">
          <a:extLst>
            <a:ext uri="{FF2B5EF4-FFF2-40B4-BE49-F238E27FC236}">
              <a16:creationId xmlns:a16="http://schemas.microsoft.com/office/drawing/2014/main" id="{1055FE7A-56FD-37D2-E9AD-5DA96104ED23}"/>
            </a:ext>
          </a:extLst>
        </xdr:cNvPr>
        <xdr:cNvCxnSpPr/>
      </xdr:nvCxnSpPr>
      <xdr:spPr>
        <a:xfrm>
          <a:off x="33267610" y="6871231"/>
          <a:ext cx="41464" cy="1846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113689</xdr:colOff>
      <xdr:row>21</xdr:row>
      <xdr:rowOff>99399</xdr:rowOff>
    </xdr:from>
    <xdr:to>
      <xdr:col>121</xdr:col>
      <xdr:colOff>160858</xdr:colOff>
      <xdr:row>21</xdr:row>
      <xdr:rowOff>126632</xdr:rowOff>
    </xdr:to>
    <xdr:cxnSp macro="">
      <xdr:nvCxnSpPr>
        <xdr:cNvPr id="5544" name="MinuteMarker8_20">
          <a:extLst>
            <a:ext uri="{FF2B5EF4-FFF2-40B4-BE49-F238E27FC236}">
              <a16:creationId xmlns:a16="http://schemas.microsoft.com/office/drawing/2014/main" id="{A28B46DE-E167-A0FF-9B72-DFD762A0528B}"/>
            </a:ext>
          </a:extLst>
        </xdr:cNvPr>
        <xdr:cNvCxnSpPr/>
      </xdr:nvCxnSpPr>
      <xdr:spPr>
        <a:xfrm flipH="1" flipV="1">
          <a:off x="33213064" y="6938349"/>
          <a:ext cx="47169" cy="27233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82835</xdr:colOff>
      <xdr:row>21</xdr:row>
      <xdr:rowOff>180197</xdr:rowOff>
    </xdr:from>
    <xdr:to>
      <xdr:col>121</xdr:col>
      <xdr:colOff>119555</xdr:colOff>
      <xdr:row>21</xdr:row>
      <xdr:rowOff>206876</xdr:rowOff>
    </xdr:to>
    <xdr:cxnSp macro="">
      <xdr:nvCxnSpPr>
        <xdr:cNvPr id="5545" name="MinuteMarker8_21">
          <a:extLst>
            <a:ext uri="{FF2B5EF4-FFF2-40B4-BE49-F238E27FC236}">
              <a16:creationId xmlns:a16="http://schemas.microsoft.com/office/drawing/2014/main" id="{A63DBB91-CBF3-9C9D-86EE-F81B6CDBEBAF}"/>
            </a:ext>
          </a:extLst>
        </xdr:cNvPr>
        <xdr:cNvCxnSpPr/>
      </xdr:nvCxnSpPr>
      <xdr:spPr>
        <a:xfrm>
          <a:off x="33182210" y="7019147"/>
          <a:ext cx="36720" cy="26679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29018</xdr:colOff>
      <xdr:row>21</xdr:row>
      <xdr:rowOff>246655</xdr:rowOff>
    </xdr:from>
    <xdr:to>
      <xdr:col>121</xdr:col>
      <xdr:colOff>62750</xdr:colOff>
      <xdr:row>21</xdr:row>
      <xdr:rowOff>277027</xdr:rowOff>
    </xdr:to>
    <xdr:cxnSp macro="">
      <xdr:nvCxnSpPr>
        <xdr:cNvPr id="5546" name="MinuteMarker8_22">
          <a:extLst>
            <a:ext uri="{FF2B5EF4-FFF2-40B4-BE49-F238E27FC236}">
              <a16:creationId xmlns:a16="http://schemas.microsoft.com/office/drawing/2014/main" id="{A5F8A1AD-A3EE-AE8B-0AAE-5220985D52C7}"/>
            </a:ext>
          </a:extLst>
        </xdr:cNvPr>
        <xdr:cNvCxnSpPr/>
      </xdr:nvCxnSpPr>
      <xdr:spPr>
        <a:xfrm>
          <a:off x="33128393" y="7085605"/>
          <a:ext cx="33732" cy="30372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120</xdr:col>
      <xdr:colOff>349548</xdr:colOff>
      <xdr:row>21</xdr:row>
      <xdr:rowOff>307125</xdr:rowOff>
    </xdr:from>
    <xdr:to>
      <xdr:col>120</xdr:col>
      <xdr:colOff>379921</xdr:colOff>
      <xdr:row>21</xdr:row>
      <xdr:rowOff>340855</xdr:rowOff>
    </xdr:to>
    <xdr:cxnSp macro="">
      <xdr:nvCxnSpPr>
        <xdr:cNvPr id="5547" name="MinuteMarker8_23">
          <a:extLst>
            <a:ext uri="{FF2B5EF4-FFF2-40B4-BE49-F238E27FC236}">
              <a16:creationId xmlns:a16="http://schemas.microsoft.com/office/drawing/2014/main" id="{A2A86068-D782-FEC9-E6C1-D7BAB805440E}"/>
            </a:ext>
          </a:extLst>
        </xdr:cNvPr>
        <xdr:cNvCxnSpPr/>
      </xdr:nvCxnSpPr>
      <xdr:spPr>
        <a:xfrm>
          <a:off x="33067923" y="7146075"/>
          <a:ext cx="30373" cy="3373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120</xdr:col>
      <xdr:colOff>283090</xdr:colOff>
      <xdr:row>21</xdr:row>
      <xdr:rowOff>360942</xdr:rowOff>
    </xdr:from>
    <xdr:to>
      <xdr:col>120</xdr:col>
      <xdr:colOff>309770</xdr:colOff>
      <xdr:row>21</xdr:row>
      <xdr:rowOff>397662</xdr:rowOff>
    </xdr:to>
    <xdr:cxnSp macro="">
      <xdr:nvCxnSpPr>
        <xdr:cNvPr id="5548" name="MinuteMarker8_24">
          <a:extLst>
            <a:ext uri="{FF2B5EF4-FFF2-40B4-BE49-F238E27FC236}">
              <a16:creationId xmlns:a16="http://schemas.microsoft.com/office/drawing/2014/main" id="{F826CF02-4E78-0BF3-E2D8-27D999513FCD}"/>
            </a:ext>
          </a:extLst>
        </xdr:cNvPr>
        <xdr:cNvCxnSpPr/>
      </xdr:nvCxnSpPr>
      <xdr:spPr>
        <a:xfrm>
          <a:off x="33001465" y="7199892"/>
          <a:ext cx="26680" cy="3672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120</xdr:col>
      <xdr:colOff>202292</xdr:colOff>
      <xdr:row>21</xdr:row>
      <xdr:rowOff>391795</xdr:rowOff>
    </xdr:from>
    <xdr:to>
      <xdr:col>120</xdr:col>
      <xdr:colOff>229527</xdr:colOff>
      <xdr:row>22</xdr:row>
      <xdr:rowOff>29389</xdr:rowOff>
    </xdr:to>
    <xdr:cxnSp macro="">
      <xdr:nvCxnSpPr>
        <xdr:cNvPr id="5549" name="MinuteMarker8_25">
          <a:extLst>
            <a:ext uri="{FF2B5EF4-FFF2-40B4-BE49-F238E27FC236}">
              <a16:creationId xmlns:a16="http://schemas.microsoft.com/office/drawing/2014/main" id="{E91AC0AA-DFEC-3DFC-F61C-39AC5E38FC92}"/>
            </a:ext>
          </a:extLst>
        </xdr:cNvPr>
        <xdr:cNvCxnSpPr/>
      </xdr:nvCxnSpPr>
      <xdr:spPr>
        <a:xfrm flipH="1" flipV="1">
          <a:off x="32920667" y="7230745"/>
          <a:ext cx="27235" cy="47169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120</xdr:col>
      <xdr:colOff>135173</xdr:colOff>
      <xdr:row>22</xdr:row>
      <xdr:rowOff>36766</xdr:rowOff>
    </xdr:from>
    <xdr:to>
      <xdr:col>120</xdr:col>
      <xdr:colOff>153637</xdr:colOff>
      <xdr:row>22</xdr:row>
      <xdr:rowOff>78231</xdr:rowOff>
    </xdr:to>
    <xdr:cxnSp macro="">
      <xdr:nvCxnSpPr>
        <xdr:cNvPr id="5550" name="MinuteMarker8_26">
          <a:extLst>
            <a:ext uri="{FF2B5EF4-FFF2-40B4-BE49-F238E27FC236}">
              <a16:creationId xmlns:a16="http://schemas.microsoft.com/office/drawing/2014/main" id="{30FBC69A-C806-E21F-4963-E928094730C1}"/>
            </a:ext>
          </a:extLst>
        </xdr:cNvPr>
        <xdr:cNvCxnSpPr/>
      </xdr:nvCxnSpPr>
      <xdr:spPr>
        <a:xfrm>
          <a:off x="32853548" y="7285291"/>
          <a:ext cx="18464" cy="4146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120</xdr:col>
      <xdr:colOff>55339</xdr:colOff>
      <xdr:row>22</xdr:row>
      <xdr:rowOff>67412</xdr:rowOff>
    </xdr:from>
    <xdr:to>
      <xdr:col>120</xdr:col>
      <xdr:colOff>69363</xdr:colOff>
      <xdr:row>22</xdr:row>
      <xdr:rowOff>110579</xdr:rowOff>
    </xdr:to>
    <xdr:cxnSp macro="">
      <xdr:nvCxnSpPr>
        <xdr:cNvPr id="5551" name="MinuteMarker8_27">
          <a:extLst>
            <a:ext uri="{FF2B5EF4-FFF2-40B4-BE49-F238E27FC236}">
              <a16:creationId xmlns:a16="http://schemas.microsoft.com/office/drawing/2014/main" id="{6CC2F614-D205-8433-76B0-CB66231AE1B6}"/>
            </a:ext>
          </a:extLst>
        </xdr:cNvPr>
        <xdr:cNvCxnSpPr/>
      </xdr:nvCxnSpPr>
      <xdr:spPr>
        <a:xfrm>
          <a:off x="32773714" y="7315937"/>
          <a:ext cx="14024" cy="4316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353737</xdr:colOff>
      <xdr:row>22</xdr:row>
      <xdr:rowOff>89546</xdr:rowOff>
    </xdr:from>
    <xdr:to>
      <xdr:col>119</xdr:col>
      <xdr:colOff>363172</xdr:colOff>
      <xdr:row>22</xdr:row>
      <xdr:rowOff>133942</xdr:rowOff>
    </xdr:to>
    <xdr:cxnSp macro="">
      <xdr:nvCxnSpPr>
        <xdr:cNvPr id="5552" name="MinuteMarker8_28">
          <a:extLst>
            <a:ext uri="{FF2B5EF4-FFF2-40B4-BE49-F238E27FC236}">
              <a16:creationId xmlns:a16="http://schemas.microsoft.com/office/drawing/2014/main" id="{4581FDF9-C94A-84A2-6A9E-87883825A4F6}"/>
            </a:ext>
          </a:extLst>
        </xdr:cNvPr>
        <xdr:cNvCxnSpPr/>
      </xdr:nvCxnSpPr>
      <xdr:spPr>
        <a:xfrm>
          <a:off x="32691112" y="7338071"/>
          <a:ext cx="9435" cy="44396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269270</xdr:colOff>
      <xdr:row>22</xdr:row>
      <xdr:rowOff>102923</xdr:rowOff>
    </xdr:from>
    <xdr:to>
      <xdr:col>119</xdr:col>
      <xdr:colOff>274017</xdr:colOff>
      <xdr:row>22</xdr:row>
      <xdr:rowOff>148064</xdr:rowOff>
    </xdr:to>
    <xdr:cxnSp macro="">
      <xdr:nvCxnSpPr>
        <xdr:cNvPr id="5553" name="MinuteMarker8_29">
          <a:extLst>
            <a:ext uri="{FF2B5EF4-FFF2-40B4-BE49-F238E27FC236}">
              <a16:creationId xmlns:a16="http://schemas.microsoft.com/office/drawing/2014/main" id="{E6191DD8-76C8-443F-1570-311D1555DB00}"/>
            </a:ext>
          </a:extLst>
        </xdr:cNvPr>
        <xdr:cNvCxnSpPr/>
      </xdr:nvCxnSpPr>
      <xdr:spPr>
        <a:xfrm>
          <a:off x="32606645" y="7351448"/>
          <a:ext cx="4747" cy="4514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183871</xdr:colOff>
      <xdr:row>22</xdr:row>
      <xdr:rowOff>89243</xdr:rowOff>
    </xdr:from>
    <xdr:to>
      <xdr:col>119</xdr:col>
      <xdr:colOff>183871</xdr:colOff>
      <xdr:row>22</xdr:row>
      <xdr:rowOff>143710</xdr:rowOff>
    </xdr:to>
    <xdr:cxnSp macro="">
      <xdr:nvCxnSpPr>
        <xdr:cNvPr id="5554" name="MinuteMarker8_30">
          <a:extLst>
            <a:ext uri="{FF2B5EF4-FFF2-40B4-BE49-F238E27FC236}">
              <a16:creationId xmlns:a16="http://schemas.microsoft.com/office/drawing/2014/main" id="{316B6271-0255-1C80-E19A-838A27BB22A6}"/>
            </a:ext>
          </a:extLst>
        </xdr:cNvPr>
        <xdr:cNvCxnSpPr/>
      </xdr:nvCxnSpPr>
      <xdr:spPr>
        <a:xfrm flipV="1">
          <a:off x="32521246" y="7337768"/>
          <a:ext cx="0" cy="54467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93728</xdr:colOff>
      <xdr:row>22</xdr:row>
      <xdr:rowOff>102923</xdr:rowOff>
    </xdr:from>
    <xdr:to>
      <xdr:col>119</xdr:col>
      <xdr:colOff>98475</xdr:colOff>
      <xdr:row>22</xdr:row>
      <xdr:rowOff>148064</xdr:rowOff>
    </xdr:to>
    <xdr:cxnSp macro="">
      <xdr:nvCxnSpPr>
        <xdr:cNvPr id="5555" name="MinuteMarker8_31">
          <a:extLst>
            <a:ext uri="{FF2B5EF4-FFF2-40B4-BE49-F238E27FC236}">
              <a16:creationId xmlns:a16="http://schemas.microsoft.com/office/drawing/2014/main" id="{A4210A9B-F695-4289-1CE0-A3E8E2D86B99}"/>
            </a:ext>
          </a:extLst>
        </xdr:cNvPr>
        <xdr:cNvCxnSpPr/>
      </xdr:nvCxnSpPr>
      <xdr:spPr>
        <a:xfrm flipH="1">
          <a:off x="32431103" y="7351448"/>
          <a:ext cx="4747" cy="4514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4573</xdr:colOff>
      <xdr:row>22</xdr:row>
      <xdr:rowOff>89546</xdr:rowOff>
    </xdr:from>
    <xdr:to>
      <xdr:col>119</xdr:col>
      <xdr:colOff>14008</xdr:colOff>
      <xdr:row>22</xdr:row>
      <xdr:rowOff>133942</xdr:rowOff>
    </xdr:to>
    <xdr:cxnSp macro="">
      <xdr:nvCxnSpPr>
        <xdr:cNvPr id="5556" name="MinuteMarker8_32">
          <a:extLst>
            <a:ext uri="{FF2B5EF4-FFF2-40B4-BE49-F238E27FC236}">
              <a16:creationId xmlns:a16="http://schemas.microsoft.com/office/drawing/2014/main" id="{AF217EF7-B0F1-CB1F-EE82-0A0C986DE506}"/>
            </a:ext>
          </a:extLst>
        </xdr:cNvPr>
        <xdr:cNvCxnSpPr/>
      </xdr:nvCxnSpPr>
      <xdr:spPr>
        <a:xfrm flipH="1">
          <a:off x="32341948" y="7338071"/>
          <a:ext cx="9435" cy="44396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118</xdr:col>
      <xdr:colOff>298382</xdr:colOff>
      <xdr:row>22</xdr:row>
      <xdr:rowOff>67412</xdr:rowOff>
    </xdr:from>
    <xdr:to>
      <xdr:col>118</xdr:col>
      <xdr:colOff>312406</xdr:colOff>
      <xdr:row>22</xdr:row>
      <xdr:rowOff>110579</xdr:rowOff>
    </xdr:to>
    <xdr:cxnSp macro="">
      <xdr:nvCxnSpPr>
        <xdr:cNvPr id="5557" name="MinuteMarker8_33">
          <a:extLst>
            <a:ext uri="{FF2B5EF4-FFF2-40B4-BE49-F238E27FC236}">
              <a16:creationId xmlns:a16="http://schemas.microsoft.com/office/drawing/2014/main" id="{4D811113-A77D-1730-7061-418BD210B3E6}"/>
            </a:ext>
          </a:extLst>
        </xdr:cNvPr>
        <xdr:cNvCxnSpPr/>
      </xdr:nvCxnSpPr>
      <xdr:spPr>
        <a:xfrm flipH="1">
          <a:off x="32254757" y="7315937"/>
          <a:ext cx="14024" cy="4316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118</xdr:col>
      <xdr:colOff>214108</xdr:colOff>
      <xdr:row>22</xdr:row>
      <xdr:rowOff>36766</xdr:rowOff>
    </xdr:from>
    <xdr:to>
      <xdr:col>118</xdr:col>
      <xdr:colOff>232572</xdr:colOff>
      <xdr:row>22</xdr:row>
      <xdr:rowOff>78231</xdr:rowOff>
    </xdr:to>
    <xdr:cxnSp macro="">
      <xdr:nvCxnSpPr>
        <xdr:cNvPr id="5558" name="MinuteMarker8_34">
          <a:extLst>
            <a:ext uri="{FF2B5EF4-FFF2-40B4-BE49-F238E27FC236}">
              <a16:creationId xmlns:a16="http://schemas.microsoft.com/office/drawing/2014/main" id="{8F3B000F-A084-741C-6C46-3FB03F5734CD}"/>
            </a:ext>
          </a:extLst>
        </xdr:cNvPr>
        <xdr:cNvCxnSpPr/>
      </xdr:nvCxnSpPr>
      <xdr:spPr>
        <a:xfrm flipH="1">
          <a:off x="32170483" y="7285291"/>
          <a:ext cx="18464" cy="4146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118</xdr:col>
      <xdr:colOff>138218</xdr:colOff>
      <xdr:row>21</xdr:row>
      <xdr:rowOff>391795</xdr:rowOff>
    </xdr:from>
    <xdr:to>
      <xdr:col>118</xdr:col>
      <xdr:colOff>165453</xdr:colOff>
      <xdr:row>22</xdr:row>
      <xdr:rowOff>29389</xdr:rowOff>
    </xdr:to>
    <xdr:cxnSp macro="">
      <xdr:nvCxnSpPr>
        <xdr:cNvPr id="5559" name="MinuteMarker8_35">
          <a:extLst>
            <a:ext uri="{FF2B5EF4-FFF2-40B4-BE49-F238E27FC236}">
              <a16:creationId xmlns:a16="http://schemas.microsoft.com/office/drawing/2014/main" id="{FE4F2CF1-4269-2F64-1574-C67277B40106}"/>
            </a:ext>
          </a:extLst>
        </xdr:cNvPr>
        <xdr:cNvCxnSpPr/>
      </xdr:nvCxnSpPr>
      <xdr:spPr>
        <a:xfrm flipV="1">
          <a:off x="32094593" y="7230745"/>
          <a:ext cx="27235" cy="47169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118</xdr:col>
      <xdr:colOff>57975</xdr:colOff>
      <xdr:row>21</xdr:row>
      <xdr:rowOff>360942</xdr:rowOff>
    </xdr:from>
    <xdr:to>
      <xdr:col>118</xdr:col>
      <xdr:colOff>84655</xdr:colOff>
      <xdr:row>21</xdr:row>
      <xdr:rowOff>397662</xdr:rowOff>
    </xdr:to>
    <xdr:cxnSp macro="">
      <xdr:nvCxnSpPr>
        <xdr:cNvPr id="5560" name="MinuteMarker8_36">
          <a:extLst>
            <a:ext uri="{FF2B5EF4-FFF2-40B4-BE49-F238E27FC236}">
              <a16:creationId xmlns:a16="http://schemas.microsoft.com/office/drawing/2014/main" id="{3AE533DD-893B-C4C5-D42C-A63D6D5B4F92}"/>
            </a:ext>
          </a:extLst>
        </xdr:cNvPr>
        <xdr:cNvCxnSpPr/>
      </xdr:nvCxnSpPr>
      <xdr:spPr>
        <a:xfrm flipH="1">
          <a:off x="32014350" y="7199892"/>
          <a:ext cx="26680" cy="3672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368824</xdr:colOff>
      <xdr:row>21</xdr:row>
      <xdr:rowOff>307125</xdr:rowOff>
    </xdr:from>
    <xdr:to>
      <xdr:col>118</xdr:col>
      <xdr:colOff>18197</xdr:colOff>
      <xdr:row>21</xdr:row>
      <xdr:rowOff>340855</xdr:rowOff>
    </xdr:to>
    <xdr:cxnSp macro="">
      <xdr:nvCxnSpPr>
        <xdr:cNvPr id="5561" name="MinuteMarker8_37">
          <a:extLst>
            <a:ext uri="{FF2B5EF4-FFF2-40B4-BE49-F238E27FC236}">
              <a16:creationId xmlns:a16="http://schemas.microsoft.com/office/drawing/2014/main" id="{E6D93E2B-2BA8-70B5-D36C-E76F080E19DC}"/>
            </a:ext>
          </a:extLst>
        </xdr:cNvPr>
        <xdr:cNvCxnSpPr/>
      </xdr:nvCxnSpPr>
      <xdr:spPr>
        <a:xfrm flipH="1">
          <a:off x="31944199" y="7146075"/>
          <a:ext cx="30373" cy="3373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304995</xdr:colOff>
      <xdr:row>21</xdr:row>
      <xdr:rowOff>246655</xdr:rowOff>
    </xdr:from>
    <xdr:to>
      <xdr:col>117</xdr:col>
      <xdr:colOff>338727</xdr:colOff>
      <xdr:row>21</xdr:row>
      <xdr:rowOff>277027</xdr:rowOff>
    </xdr:to>
    <xdr:cxnSp macro="">
      <xdr:nvCxnSpPr>
        <xdr:cNvPr id="5562" name="MinuteMarker8_38">
          <a:extLst>
            <a:ext uri="{FF2B5EF4-FFF2-40B4-BE49-F238E27FC236}">
              <a16:creationId xmlns:a16="http://schemas.microsoft.com/office/drawing/2014/main" id="{FC1F600A-134B-ADC1-D090-F74BB0EAE63F}"/>
            </a:ext>
          </a:extLst>
        </xdr:cNvPr>
        <xdr:cNvCxnSpPr/>
      </xdr:nvCxnSpPr>
      <xdr:spPr>
        <a:xfrm flipH="1">
          <a:off x="31880370" y="7085605"/>
          <a:ext cx="33732" cy="30372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248190</xdr:colOff>
      <xdr:row>21</xdr:row>
      <xdr:rowOff>180197</xdr:rowOff>
    </xdr:from>
    <xdr:to>
      <xdr:col>117</xdr:col>
      <xdr:colOff>284910</xdr:colOff>
      <xdr:row>21</xdr:row>
      <xdr:rowOff>206876</xdr:rowOff>
    </xdr:to>
    <xdr:cxnSp macro="">
      <xdr:nvCxnSpPr>
        <xdr:cNvPr id="5563" name="MinuteMarker8_39">
          <a:extLst>
            <a:ext uri="{FF2B5EF4-FFF2-40B4-BE49-F238E27FC236}">
              <a16:creationId xmlns:a16="http://schemas.microsoft.com/office/drawing/2014/main" id="{F29F97F8-599D-66A3-4754-C2D2160F445E}"/>
            </a:ext>
          </a:extLst>
        </xdr:cNvPr>
        <xdr:cNvCxnSpPr/>
      </xdr:nvCxnSpPr>
      <xdr:spPr>
        <a:xfrm flipH="1">
          <a:off x="31823565" y="7019147"/>
          <a:ext cx="36720" cy="26679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206887</xdr:colOff>
      <xdr:row>21</xdr:row>
      <xdr:rowOff>99399</xdr:rowOff>
    </xdr:from>
    <xdr:to>
      <xdr:col>117</xdr:col>
      <xdr:colOff>254056</xdr:colOff>
      <xdr:row>21</xdr:row>
      <xdr:rowOff>126632</xdr:rowOff>
    </xdr:to>
    <xdr:cxnSp macro="">
      <xdr:nvCxnSpPr>
        <xdr:cNvPr id="5564" name="MinuteMarker8_40">
          <a:extLst>
            <a:ext uri="{FF2B5EF4-FFF2-40B4-BE49-F238E27FC236}">
              <a16:creationId xmlns:a16="http://schemas.microsoft.com/office/drawing/2014/main" id="{48BBC0EC-9771-5785-E3C8-155147D4A456}"/>
            </a:ext>
          </a:extLst>
        </xdr:cNvPr>
        <xdr:cNvCxnSpPr/>
      </xdr:nvCxnSpPr>
      <xdr:spPr>
        <a:xfrm flipV="1">
          <a:off x="31782262" y="6938349"/>
          <a:ext cx="47169" cy="27233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158046</xdr:colOff>
      <xdr:row>21</xdr:row>
      <xdr:rowOff>32281</xdr:rowOff>
    </xdr:from>
    <xdr:to>
      <xdr:col>117</xdr:col>
      <xdr:colOff>199510</xdr:colOff>
      <xdr:row>21</xdr:row>
      <xdr:rowOff>50742</xdr:rowOff>
    </xdr:to>
    <xdr:cxnSp macro="">
      <xdr:nvCxnSpPr>
        <xdr:cNvPr id="5565" name="MinuteMarker8_41">
          <a:extLst>
            <a:ext uri="{FF2B5EF4-FFF2-40B4-BE49-F238E27FC236}">
              <a16:creationId xmlns:a16="http://schemas.microsoft.com/office/drawing/2014/main" id="{4716B14B-D742-00D5-96B5-C34C5CBDF698}"/>
            </a:ext>
          </a:extLst>
        </xdr:cNvPr>
        <xdr:cNvCxnSpPr/>
      </xdr:nvCxnSpPr>
      <xdr:spPr>
        <a:xfrm flipH="1">
          <a:off x="31733421" y="6871231"/>
          <a:ext cx="41464" cy="1846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125698</xdr:colOff>
      <xdr:row>20</xdr:row>
      <xdr:rowOff>247719</xdr:rowOff>
    </xdr:from>
    <xdr:to>
      <xdr:col>117</xdr:col>
      <xdr:colOff>168864</xdr:colOff>
      <xdr:row>20</xdr:row>
      <xdr:rowOff>261745</xdr:rowOff>
    </xdr:to>
    <xdr:cxnSp macro="">
      <xdr:nvCxnSpPr>
        <xdr:cNvPr id="5566" name="MinuteMarker8_42">
          <a:extLst>
            <a:ext uri="{FF2B5EF4-FFF2-40B4-BE49-F238E27FC236}">
              <a16:creationId xmlns:a16="http://schemas.microsoft.com/office/drawing/2014/main" id="{F9DD0E81-9068-BAD7-CE88-C7CDA6F95D9A}"/>
            </a:ext>
          </a:extLst>
        </xdr:cNvPr>
        <xdr:cNvCxnSpPr/>
      </xdr:nvCxnSpPr>
      <xdr:spPr>
        <a:xfrm flipH="1">
          <a:off x="31701073" y="6791394"/>
          <a:ext cx="43166" cy="14026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102335</xdr:colOff>
      <xdr:row>20</xdr:row>
      <xdr:rowOff>165117</xdr:rowOff>
    </xdr:from>
    <xdr:to>
      <xdr:col>117</xdr:col>
      <xdr:colOff>146729</xdr:colOff>
      <xdr:row>20</xdr:row>
      <xdr:rowOff>174554</xdr:rowOff>
    </xdr:to>
    <xdr:cxnSp macro="">
      <xdr:nvCxnSpPr>
        <xdr:cNvPr id="5567" name="MinuteMarker8_43">
          <a:extLst>
            <a:ext uri="{FF2B5EF4-FFF2-40B4-BE49-F238E27FC236}">
              <a16:creationId xmlns:a16="http://schemas.microsoft.com/office/drawing/2014/main" id="{2DD6F191-7E87-B644-D417-ADBD1724E168}"/>
            </a:ext>
          </a:extLst>
        </xdr:cNvPr>
        <xdr:cNvCxnSpPr/>
      </xdr:nvCxnSpPr>
      <xdr:spPr>
        <a:xfrm flipH="1">
          <a:off x="31677710" y="6708792"/>
          <a:ext cx="44394" cy="943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88212</xdr:colOff>
      <xdr:row>20</xdr:row>
      <xdr:rowOff>80653</xdr:rowOff>
    </xdr:from>
    <xdr:to>
      <xdr:col>117</xdr:col>
      <xdr:colOff>133353</xdr:colOff>
      <xdr:row>20</xdr:row>
      <xdr:rowOff>85398</xdr:rowOff>
    </xdr:to>
    <xdr:cxnSp macro="">
      <xdr:nvCxnSpPr>
        <xdr:cNvPr id="5568" name="MinuteMarker8_44">
          <a:extLst>
            <a:ext uri="{FF2B5EF4-FFF2-40B4-BE49-F238E27FC236}">
              <a16:creationId xmlns:a16="http://schemas.microsoft.com/office/drawing/2014/main" id="{366DA460-116C-3064-8CFE-CF461D4AC754}"/>
            </a:ext>
          </a:extLst>
        </xdr:cNvPr>
        <xdr:cNvCxnSpPr/>
      </xdr:nvCxnSpPr>
      <xdr:spPr>
        <a:xfrm flipH="1">
          <a:off x="31663587" y="6624328"/>
          <a:ext cx="45141" cy="474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92565</xdr:colOff>
      <xdr:row>19</xdr:row>
      <xdr:rowOff>290529</xdr:rowOff>
    </xdr:from>
    <xdr:to>
      <xdr:col>117</xdr:col>
      <xdr:colOff>147033</xdr:colOff>
      <xdr:row>19</xdr:row>
      <xdr:rowOff>290529</xdr:rowOff>
    </xdr:to>
    <xdr:cxnSp macro="">
      <xdr:nvCxnSpPr>
        <xdr:cNvPr id="5569" name="MinuteMarker8_45">
          <a:extLst>
            <a:ext uri="{FF2B5EF4-FFF2-40B4-BE49-F238E27FC236}">
              <a16:creationId xmlns:a16="http://schemas.microsoft.com/office/drawing/2014/main" id="{6E1E7E64-872D-175B-7DEA-898039074FA5}"/>
            </a:ext>
          </a:extLst>
        </xdr:cNvPr>
        <xdr:cNvCxnSpPr/>
      </xdr:nvCxnSpPr>
      <xdr:spPr>
        <a:xfrm>
          <a:off x="31667940" y="6538929"/>
          <a:ext cx="54468" cy="0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88212</xdr:colOff>
      <xdr:row>19</xdr:row>
      <xdr:rowOff>200385</xdr:rowOff>
    </xdr:from>
    <xdr:to>
      <xdr:col>117</xdr:col>
      <xdr:colOff>133353</xdr:colOff>
      <xdr:row>19</xdr:row>
      <xdr:rowOff>205130</xdr:rowOff>
    </xdr:to>
    <xdr:cxnSp macro="">
      <xdr:nvCxnSpPr>
        <xdr:cNvPr id="5570" name="MinuteMarker8_46">
          <a:extLst>
            <a:ext uri="{FF2B5EF4-FFF2-40B4-BE49-F238E27FC236}">
              <a16:creationId xmlns:a16="http://schemas.microsoft.com/office/drawing/2014/main" id="{92435CD0-8CD0-DA3B-6AA0-033D661CC9AB}"/>
            </a:ext>
          </a:extLst>
        </xdr:cNvPr>
        <xdr:cNvCxnSpPr/>
      </xdr:nvCxnSpPr>
      <xdr:spPr>
        <a:xfrm flipH="1" flipV="1">
          <a:off x="31663587" y="6448785"/>
          <a:ext cx="45141" cy="474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102335</xdr:colOff>
      <xdr:row>19</xdr:row>
      <xdr:rowOff>111229</xdr:rowOff>
    </xdr:from>
    <xdr:to>
      <xdr:col>117</xdr:col>
      <xdr:colOff>146729</xdr:colOff>
      <xdr:row>19</xdr:row>
      <xdr:rowOff>120666</xdr:rowOff>
    </xdr:to>
    <xdr:cxnSp macro="">
      <xdr:nvCxnSpPr>
        <xdr:cNvPr id="5571" name="MinuteMarker8_47">
          <a:extLst>
            <a:ext uri="{FF2B5EF4-FFF2-40B4-BE49-F238E27FC236}">
              <a16:creationId xmlns:a16="http://schemas.microsoft.com/office/drawing/2014/main" id="{D0096447-D607-D729-F50B-1B76D3CEEF68}"/>
            </a:ext>
          </a:extLst>
        </xdr:cNvPr>
        <xdr:cNvCxnSpPr/>
      </xdr:nvCxnSpPr>
      <xdr:spPr>
        <a:xfrm flipH="1" flipV="1">
          <a:off x="31677710" y="6359629"/>
          <a:ext cx="44394" cy="943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125698</xdr:colOff>
      <xdr:row>19</xdr:row>
      <xdr:rowOff>24038</xdr:rowOff>
    </xdr:from>
    <xdr:to>
      <xdr:col>117</xdr:col>
      <xdr:colOff>168864</xdr:colOff>
      <xdr:row>19</xdr:row>
      <xdr:rowOff>38064</xdr:rowOff>
    </xdr:to>
    <xdr:cxnSp macro="">
      <xdr:nvCxnSpPr>
        <xdr:cNvPr id="5572" name="MinuteMarker8_48">
          <a:extLst>
            <a:ext uri="{FF2B5EF4-FFF2-40B4-BE49-F238E27FC236}">
              <a16:creationId xmlns:a16="http://schemas.microsoft.com/office/drawing/2014/main" id="{0BDF036A-95E2-0B75-AE99-E9D9EE2F0A65}"/>
            </a:ext>
          </a:extLst>
        </xdr:cNvPr>
        <xdr:cNvCxnSpPr/>
      </xdr:nvCxnSpPr>
      <xdr:spPr>
        <a:xfrm flipH="1" flipV="1">
          <a:off x="31701073" y="6272438"/>
          <a:ext cx="43166" cy="14026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158046</xdr:colOff>
      <xdr:row>18</xdr:row>
      <xdr:rowOff>349341</xdr:rowOff>
    </xdr:from>
    <xdr:to>
      <xdr:col>117</xdr:col>
      <xdr:colOff>199510</xdr:colOff>
      <xdr:row>18</xdr:row>
      <xdr:rowOff>367802</xdr:rowOff>
    </xdr:to>
    <xdr:cxnSp macro="">
      <xdr:nvCxnSpPr>
        <xdr:cNvPr id="5573" name="MinuteMarker8_49">
          <a:extLst>
            <a:ext uri="{FF2B5EF4-FFF2-40B4-BE49-F238E27FC236}">
              <a16:creationId xmlns:a16="http://schemas.microsoft.com/office/drawing/2014/main" id="{9A385348-578F-76A3-C1FD-7D6E3864963A}"/>
            </a:ext>
          </a:extLst>
        </xdr:cNvPr>
        <xdr:cNvCxnSpPr/>
      </xdr:nvCxnSpPr>
      <xdr:spPr>
        <a:xfrm flipH="1" flipV="1">
          <a:off x="31733421" y="6188166"/>
          <a:ext cx="41464" cy="1846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206887</xdr:colOff>
      <xdr:row>18</xdr:row>
      <xdr:rowOff>273451</xdr:rowOff>
    </xdr:from>
    <xdr:to>
      <xdr:col>117</xdr:col>
      <xdr:colOff>254056</xdr:colOff>
      <xdr:row>18</xdr:row>
      <xdr:rowOff>300684</xdr:rowOff>
    </xdr:to>
    <xdr:cxnSp macro="">
      <xdr:nvCxnSpPr>
        <xdr:cNvPr id="5574" name="MinuteMarker8_50">
          <a:extLst>
            <a:ext uri="{FF2B5EF4-FFF2-40B4-BE49-F238E27FC236}">
              <a16:creationId xmlns:a16="http://schemas.microsoft.com/office/drawing/2014/main" id="{2FCC301F-2904-99A9-7200-2DECEED6A067}"/>
            </a:ext>
          </a:extLst>
        </xdr:cNvPr>
        <xdr:cNvCxnSpPr/>
      </xdr:nvCxnSpPr>
      <xdr:spPr>
        <a:xfrm>
          <a:off x="31782262" y="6112276"/>
          <a:ext cx="47169" cy="27233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248190</xdr:colOff>
      <xdr:row>18</xdr:row>
      <xdr:rowOff>193207</xdr:rowOff>
    </xdr:from>
    <xdr:to>
      <xdr:col>117</xdr:col>
      <xdr:colOff>284910</xdr:colOff>
      <xdr:row>18</xdr:row>
      <xdr:rowOff>219886</xdr:rowOff>
    </xdr:to>
    <xdr:cxnSp macro="">
      <xdr:nvCxnSpPr>
        <xdr:cNvPr id="5575" name="MinuteMarker8_51">
          <a:extLst>
            <a:ext uri="{FF2B5EF4-FFF2-40B4-BE49-F238E27FC236}">
              <a16:creationId xmlns:a16="http://schemas.microsoft.com/office/drawing/2014/main" id="{E47935A3-185D-2C65-DEB8-C8866B69F131}"/>
            </a:ext>
          </a:extLst>
        </xdr:cNvPr>
        <xdr:cNvCxnSpPr/>
      </xdr:nvCxnSpPr>
      <xdr:spPr>
        <a:xfrm flipH="1" flipV="1">
          <a:off x="31823565" y="6032032"/>
          <a:ext cx="36720" cy="26679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304995</xdr:colOff>
      <xdr:row>18</xdr:row>
      <xdr:rowOff>123056</xdr:rowOff>
    </xdr:from>
    <xdr:to>
      <xdr:col>117</xdr:col>
      <xdr:colOff>338727</xdr:colOff>
      <xdr:row>18</xdr:row>
      <xdr:rowOff>153427</xdr:rowOff>
    </xdr:to>
    <xdr:cxnSp macro="">
      <xdr:nvCxnSpPr>
        <xdr:cNvPr id="5576" name="MinuteMarker8_52">
          <a:extLst>
            <a:ext uri="{FF2B5EF4-FFF2-40B4-BE49-F238E27FC236}">
              <a16:creationId xmlns:a16="http://schemas.microsoft.com/office/drawing/2014/main" id="{CE58C568-95E7-BF43-A659-58BB69E3D23F}"/>
            </a:ext>
          </a:extLst>
        </xdr:cNvPr>
        <xdr:cNvCxnSpPr/>
      </xdr:nvCxnSpPr>
      <xdr:spPr>
        <a:xfrm flipH="1" flipV="1">
          <a:off x="31880370" y="5961881"/>
          <a:ext cx="33732" cy="3037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368824</xdr:colOff>
      <xdr:row>18</xdr:row>
      <xdr:rowOff>59228</xdr:rowOff>
    </xdr:from>
    <xdr:to>
      <xdr:col>118</xdr:col>
      <xdr:colOff>18197</xdr:colOff>
      <xdr:row>18</xdr:row>
      <xdr:rowOff>92958</xdr:rowOff>
    </xdr:to>
    <xdr:cxnSp macro="">
      <xdr:nvCxnSpPr>
        <xdr:cNvPr id="5577" name="MinuteMarker8_53">
          <a:extLst>
            <a:ext uri="{FF2B5EF4-FFF2-40B4-BE49-F238E27FC236}">
              <a16:creationId xmlns:a16="http://schemas.microsoft.com/office/drawing/2014/main" id="{D8CD13CC-B81E-E565-A031-7E560B348CB6}"/>
            </a:ext>
          </a:extLst>
        </xdr:cNvPr>
        <xdr:cNvCxnSpPr/>
      </xdr:nvCxnSpPr>
      <xdr:spPr>
        <a:xfrm flipH="1" flipV="1">
          <a:off x="31944199" y="5898053"/>
          <a:ext cx="30373" cy="3373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118</xdr:col>
      <xdr:colOff>57975</xdr:colOff>
      <xdr:row>18</xdr:row>
      <xdr:rowOff>2421</xdr:rowOff>
    </xdr:from>
    <xdr:to>
      <xdr:col>118</xdr:col>
      <xdr:colOff>84655</xdr:colOff>
      <xdr:row>18</xdr:row>
      <xdr:rowOff>39141</xdr:rowOff>
    </xdr:to>
    <xdr:cxnSp macro="">
      <xdr:nvCxnSpPr>
        <xdr:cNvPr id="5578" name="MinuteMarker8_54">
          <a:extLst>
            <a:ext uri="{FF2B5EF4-FFF2-40B4-BE49-F238E27FC236}">
              <a16:creationId xmlns:a16="http://schemas.microsoft.com/office/drawing/2014/main" id="{D54CFAD7-DE82-7D13-2F91-FA5AEC4AF610}"/>
            </a:ext>
          </a:extLst>
        </xdr:cNvPr>
        <xdr:cNvCxnSpPr/>
      </xdr:nvCxnSpPr>
      <xdr:spPr>
        <a:xfrm flipH="1" flipV="1">
          <a:off x="32014350" y="5841246"/>
          <a:ext cx="26680" cy="3672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118</xdr:col>
      <xdr:colOff>138218</xdr:colOff>
      <xdr:row>17</xdr:row>
      <xdr:rowOff>256394</xdr:rowOff>
    </xdr:from>
    <xdr:to>
      <xdr:col>118</xdr:col>
      <xdr:colOff>165453</xdr:colOff>
      <xdr:row>18</xdr:row>
      <xdr:rowOff>8288</xdr:rowOff>
    </xdr:to>
    <xdr:cxnSp macro="">
      <xdr:nvCxnSpPr>
        <xdr:cNvPr id="5579" name="MinuteMarker8_55">
          <a:extLst>
            <a:ext uri="{FF2B5EF4-FFF2-40B4-BE49-F238E27FC236}">
              <a16:creationId xmlns:a16="http://schemas.microsoft.com/office/drawing/2014/main" id="{F09E4D70-711A-59D7-98EE-02F4BDEFC311}"/>
            </a:ext>
          </a:extLst>
        </xdr:cNvPr>
        <xdr:cNvCxnSpPr/>
      </xdr:nvCxnSpPr>
      <xdr:spPr>
        <a:xfrm>
          <a:off x="32094593" y="5799944"/>
          <a:ext cx="27235" cy="47169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118</xdr:col>
      <xdr:colOff>214108</xdr:colOff>
      <xdr:row>17</xdr:row>
      <xdr:rowOff>207552</xdr:rowOff>
    </xdr:from>
    <xdr:to>
      <xdr:col>118</xdr:col>
      <xdr:colOff>232572</xdr:colOff>
      <xdr:row>17</xdr:row>
      <xdr:rowOff>249017</xdr:rowOff>
    </xdr:to>
    <xdr:cxnSp macro="">
      <xdr:nvCxnSpPr>
        <xdr:cNvPr id="5580" name="MinuteMarker8_56">
          <a:extLst>
            <a:ext uri="{FF2B5EF4-FFF2-40B4-BE49-F238E27FC236}">
              <a16:creationId xmlns:a16="http://schemas.microsoft.com/office/drawing/2014/main" id="{F0CA1A7D-8BE2-ED5D-A960-65A56987FDA8}"/>
            </a:ext>
          </a:extLst>
        </xdr:cNvPr>
        <xdr:cNvCxnSpPr/>
      </xdr:nvCxnSpPr>
      <xdr:spPr>
        <a:xfrm flipH="1" flipV="1">
          <a:off x="32170483" y="5751102"/>
          <a:ext cx="18464" cy="4146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118</xdr:col>
      <xdr:colOff>298382</xdr:colOff>
      <xdr:row>17</xdr:row>
      <xdr:rowOff>175203</xdr:rowOff>
    </xdr:from>
    <xdr:to>
      <xdr:col>118</xdr:col>
      <xdr:colOff>312406</xdr:colOff>
      <xdr:row>17</xdr:row>
      <xdr:rowOff>218370</xdr:rowOff>
    </xdr:to>
    <xdr:cxnSp macro="">
      <xdr:nvCxnSpPr>
        <xdr:cNvPr id="5581" name="MinuteMarker8_57">
          <a:extLst>
            <a:ext uri="{FF2B5EF4-FFF2-40B4-BE49-F238E27FC236}">
              <a16:creationId xmlns:a16="http://schemas.microsoft.com/office/drawing/2014/main" id="{F32D21C9-0319-F273-CA57-5A506B6E02E1}"/>
            </a:ext>
          </a:extLst>
        </xdr:cNvPr>
        <xdr:cNvCxnSpPr/>
      </xdr:nvCxnSpPr>
      <xdr:spPr>
        <a:xfrm flipH="1" flipV="1">
          <a:off x="32254757" y="5718753"/>
          <a:ext cx="14024" cy="4316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4573</xdr:colOff>
      <xdr:row>17</xdr:row>
      <xdr:rowOff>151840</xdr:rowOff>
    </xdr:from>
    <xdr:to>
      <xdr:col>119</xdr:col>
      <xdr:colOff>14008</xdr:colOff>
      <xdr:row>17</xdr:row>
      <xdr:rowOff>196237</xdr:rowOff>
    </xdr:to>
    <xdr:cxnSp macro="">
      <xdr:nvCxnSpPr>
        <xdr:cNvPr id="5582" name="MinuteMarker8_58">
          <a:extLst>
            <a:ext uri="{FF2B5EF4-FFF2-40B4-BE49-F238E27FC236}">
              <a16:creationId xmlns:a16="http://schemas.microsoft.com/office/drawing/2014/main" id="{44E9E64F-42F7-33D4-96AD-C8DCB0790B9B}"/>
            </a:ext>
          </a:extLst>
        </xdr:cNvPr>
        <xdr:cNvCxnSpPr/>
      </xdr:nvCxnSpPr>
      <xdr:spPr>
        <a:xfrm flipH="1" flipV="1">
          <a:off x="32341948" y="5695390"/>
          <a:ext cx="9435" cy="4439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93728</xdr:colOff>
      <xdr:row>17</xdr:row>
      <xdr:rowOff>137719</xdr:rowOff>
    </xdr:from>
    <xdr:to>
      <xdr:col>119</xdr:col>
      <xdr:colOff>98475</xdr:colOff>
      <xdr:row>17</xdr:row>
      <xdr:rowOff>182859</xdr:rowOff>
    </xdr:to>
    <xdr:cxnSp macro="">
      <xdr:nvCxnSpPr>
        <xdr:cNvPr id="5583" name="MinuteMarker8_59">
          <a:extLst>
            <a:ext uri="{FF2B5EF4-FFF2-40B4-BE49-F238E27FC236}">
              <a16:creationId xmlns:a16="http://schemas.microsoft.com/office/drawing/2014/main" id="{02141B1F-821D-0BD4-4DD0-151A79E347A8}"/>
            </a:ext>
          </a:extLst>
        </xdr:cNvPr>
        <xdr:cNvCxnSpPr/>
      </xdr:nvCxnSpPr>
      <xdr:spPr>
        <a:xfrm flipH="1" flipV="1">
          <a:off x="32431103" y="5681269"/>
          <a:ext cx="4747" cy="4514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124</xdr:col>
      <xdr:colOff>193396</xdr:colOff>
      <xdr:row>17</xdr:row>
      <xdr:rowOff>142073</xdr:rowOff>
    </xdr:from>
    <xdr:to>
      <xdr:col>124</xdr:col>
      <xdr:colOff>193396</xdr:colOff>
      <xdr:row>17</xdr:row>
      <xdr:rowOff>196539</xdr:rowOff>
    </xdr:to>
    <xdr:cxnSp macro="">
      <xdr:nvCxnSpPr>
        <xdr:cNvPr id="5586" name="MinuteMarker9_0">
          <a:extLst>
            <a:ext uri="{FF2B5EF4-FFF2-40B4-BE49-F238E27FC236}">
              <a16:creationId xmlns:a16="http://schemas.microsoft.com/office/drawing/2014/main" id="{D206EE63-6FDD-5EC3-E9D1-F3F2C2B74031}"/>
            </a:ext>
          </a:extLst>
        </xdr:cNvPr>
        <xdr:cNvCxnSpPr/>
      </xdr:nvCxnSpPr>
      <xdr:spPr>
        <a:xfrm>
          <a:off x="34435771" y="5685623"/>
          <a:ext cx="0" cy="54466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124</xdr:col>
      <xdr:colOff>278795</xdr:colOff>
      <xdr:row>17</xdr:row>
      <xdr:rowOff>137719</xdr:rowOff>
    </xdr:from>
    <xdr:to>
      <xdr:col>124</xdr:col>
      <xdr:colOff>283542</xdr:colOff>
      <xdr:row>17</xdr:row>
      <xdr:rowOff>182859</xdr:rowOff>
    </xdr:to>
    <xdr:cxnSp macro="">
      <xdr:nvCxnSpPr>
        <xdr:cNvPr id="5587" name="MinuteMarker9_1">
          <a:extLst>
            <a:ext uri="{FF2B5EF4-FFF2-40B4-BE49-F238E27FC236}">
              <a16:creationId xmlns:a16="http://schemas.microsoft.com/office/drawing/2014/main" id="{5AAE43E2-0DC2-861F-F585-4B0C4C60783D}"/>
            </a:ext>
          </a:extLst>
        </xdr:cNvPr>
        <xdr:cNvCxnSpPr/>
      </xdr:nvCxnSpPr>
      <xdr:spPr>
        <a:xfrm flipV="1">
          <a:off x="34521170" y="5681269"/>
          <a:ext cx="4747" cy="4514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124</xdr:col>
      <xdr:colOff>363262</xdr:colOff>
      <xdr:row>17</xdr:row>
      <xdr:rowOff>151840</xdr:rowOff>
    </xdr:from>
    <xdr:to>
      <xdr:col>124</xdr:col>
      <xdr:colOff>372697</xdr:colOff>
      <xdr:row>17</xdr:row>
      <xdr:rowOff>196237</xdr:rowOff>
    </xdr:to>
    <xdr:cxnSp macro="">
      <xdr:nvCxnSpPr>
        <xdr:cNvPr id="5588" name="MinuteMarker9_2">
          <a:extLst>
            <a:ext uri="{FF2B5EF4-FFF2-40B4-BE49-F238E27FC236}">
              <a16:creationId xmlns:a16="http://schemas.microsoft.com/office/drawing/2014/main" id="{14C6CADA-706B-E61C-8AC0-4E887987B823}"/>
            </a:ext>
          </a:extLst>
        </xdr:cNvPr>
        <xdr:cNvCxnSpPr/>
      </xdr:nvCxnSpPr>
      <xdr:spPr>
        <a:xfrm flipV="1">
          <a:off x="34605637" y="5695390"/>
          <a:ext cx="9435" cy="4439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125</xdr:col>
      <xdr:colOff>64864</xdr:colOff>
      <xdr:row>17</xdr:row>
      <xdr:rowOff>175203</xdr:rowOff>
    </xdr:from>
    <xdr:to>
      <xdr:col>125</xdr:col>
      <xdr:colOff>78888</xdr:colOff>
      <xdr:row>17</xdr:row>
      <xdr:rowOff>218370</xdr:rowOff>
    </xdr:to>
    <xdr:cxnSp macro="">
      <xdr:nvCxnSpPr>
        <xdr:cNvPr id="5589" name="MinuteMarker9_3">
          <a:extLst>
            <a:ext uri="{FF2B5EF4-FFF2-40B4-BE49-F238E27FC236}">
              <a16:creationId xmlns:a16="http://schemas.microsoft.com/office/drawing/2014/main" id="{60BB36A5-CD94-3237-9D36-1400AA26BF5D}"/>
            </a:ext>
          </a:extLst>
        </xdr:cNvPr>
        <xdr:cNvCxnSpPr/>
      </xdr:nvCxnSpPr>
      <xdr:spPr>
        <a:xfrm flipV="1">
          <a:off x="34688239" y="5718753"/>
          <a:ext cx="14024" cy="4316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125</xdr:col>
      <xdr:colOff>144698</xdr:colOff>
      <xdr:row>17</xdr:row>
      <xdr:rowOff>207552</xdr:rowOff>
    </xdr:from>
    <xdr:to>
      <xdr:col>125</xdr:col>
      <xdr:colOff>163162</xdr:colOff>
      <xdr:row>17</xdr:row>
      <xdr:rowOff>249017</xdr:rowOff>
    </xdr:to>
    <xdr:cxnSp macro="">
      <xdr:nvCxnSpPr>
        <xdr:cNvPr id="5590" name="MinuteMarker9_4">
          <a:extLst>
            <a:ext uri="{FF2B5EF4-FFF2-40B4-BE49-F238E27FC236}">
              <a16:creationId xmlns:a16="http://schemas.microsoft.com/office/drawing/2014/main" id="{BFEC52C9-5921-E2D9-62BD-955BC7D1D09D}"/>
            </a:ext>
          </a:extLst>
        </xdr:cNvPr>
        <xdr:cNvCxnSpPr/>
      </xdr:nvCxnSpPr>
      <xdr:spPr>
        <a:xfrm flipV="1">
          <a:off x="34768073" y="5751102"/>
          <a:ext cx="18464" cy="4146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125</xdr:col>
      <xdr:colOff>211817</xdr:colOff>
      <xdr:row>17</xdr:row>
      <xdr:rowOff>256394</xdr:rowOff>
    </xdr:from>
    <xdr:to>
      <xdr:col>125</xdr:col>
      <xdr:colOff>239052</xdr:colOff>
      <xdr:row>18</xdr:row>
      <xdr:rowOff>8288</xdr:rowOff>
    </xdr:to>
    <xdr:cxnSp macro="">
      <xdr:nvCxnSpPr>
        <xdr:cNvPr id="5591" name="MinuteMarker9_5">
          <a:extLst>
            <a:ext uri="{FF2B5EF4-FFF2-40B4-BE49-F238E27FC236}">
              <a16:creationId xmlns:a16="http://schemas.microsoft.com/office/drawing/2014/main" id="{7D109C51-37E3-2BBF-6D47-9358A7CDDBBA}"/>
            </a:ext>
          </a:extLst>
        </xdr:cNvPr>
        <xdr:cNvCxnSpPr/>
      </xdr:nvCxnSpPr>
      <xdr:spPr>
        <a:xfrm flipH="1">
          <a:off x="34835192" y="5799944"/>
          <a:ext cx="27235" cy="47169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125</xdr:col>
      <xdr:colOff>292615</xdr:colOff>
      <xdr:row>18</xdr:row>
      <xdr:rowOff>2421</xdr:rowOff>
    </xdr:from>
    <xdr:to>
      <xdr:col>125</xdr:col>
      <xdr:colOff>319295</xdr:colOff>
      <xdr:row>18</xdr:row>
      <xdr:rowOff>39141</xdr:rowOff>
    </xdr:to>
    <xdr:cxnSp macro="">
      <xdr:nvCxnSpPr>
        <xdr:cNvPr id="5592" name="MinuteMarker9_6">
          <a:extLst>
            <a:ext uri="{FF2B5EF4-FFF2-40B4-BE49-F238E27FC236}">
              <a16:creationId xmlns:a16="http://schemas.microsoft.com/office/drawing/2014/main" id="{80170030-EF87-50FD-70BB-D2BF10DCB078}"/>
            </a:ext>
          </a:extLst>
        </xdr:cNvPr>
        <xdr:cNvCxnSpPr/>
      </xdr:nvCxnSpPr>
      <xdr:spPr>
        <a:xfrm flipV="1">
          <a:off x="34915990" y="5841246"/>
          <a:ext cx="26680" cy="3672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125</xdr:col>
      <xdr:colOff>359073</xdr:colOff>
      <xdr:row>18</xdr:row>
      <xdr:rowOff>59228</xdr:rowOff>
    </xdr:from>
    <xdr:to>
      <xdr:col>126</xdr:col>
      <xdr:colOff>8446</xdr:colOff>
      <xdr:row>18</xdr:row>
      <xdr:rowOff>92958</xdr:rowOff>
    </xdr:to>
    <xdr:cxnSp macro="">
      <xdr:nvCxnSpPr>
        <xdr:cNvPr id="5593" name="MinuteMarker9_7">
          <a:extLst>
            <a:ext uri="{FF2B5EF4-FFF2-40B4-BE49-F238E27FC236}">
              <a16:creationId xmlns:a16="http://schemas.microsoft.com/office/drawing/2014/main" id="{C02EFD4D-FD61-876A-BBA8-11F6D8460C37}"/>
            </a:ext>
          </a:extLst>
        </xdr:cNvPr>
        <xdr:cNvCxnSpPr/>
      </xdr:nvCxnSpPr>
      <xdr:spPr>
        <a:xfrm flipV="1">
          <a:off x="34982448" y="5898053"/>
          <a:ext cx="30373" cy="3373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38543</xdr:colOff>
      <xdr:row>18</xdr:row>
      <xdr:rowOff>123056</xdr:rowOff>
    </xdr:from>
    <xdr:to>
      <xdr:col>126</xdr:col>
      <xdr:colOff>72275</xdr:colOff>
      <xdr:row>18</xdr:row>
      <xdr:rowOff>153427</xdr:rowOff>
    </xdr:to>
    <xdr:cxnSp macro="">
      <xdr:nvCxnSpPr>
        <xdr:cNvPr id="5594" name="MinuteMarker9_8">
          <a:extLst>
            <a:ext uri="{FF2B5EF4-FFF2-40B4-BE49-F238E27FC236}">
              <a16:creationId xmlns:a16="http://schemas.microsoft.com/office/drawing/2014/main" id="{EB490E38-E700-54FE-643A-D2E6E790C813}"/>
            </a:ext>
          </a:extLst>
        </xdr:cNvPr>
        <xdr:cNvCxnSpPr/>
      </xdr:nvCxnSpPr>
      <xdr:spPr>
        <a:xfrm flipV="1">
          <a:off x="35042918" y="5961881"/>
          <a:ext cx="33732" cy="3037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92360</xdr:colOff>
      <xdr:row>18</xdr:row>
      <xdr:rowOff>193207</xdr:rowOff>
    </xdr:from>
    <xdr:to>
      <xdr:col>126</xdr:col>
      <xdr:colOff>129080</xdr:colOff>
      <xdr:row>18</xdr:row>
      <xdr:rowOff>219886</xdr:rowOff>
    </xdr:to>
    <xdr:cxnSp macro="">
      <xdr:nvCxnSpPr>
        <xdr:cNvPr id="5595" name="MinuteMarker9_9">
          <a:extLst>
            <a:ext uri="{FF2B5EF4-FFF2-40B4-BE49-F238E27FC236}">
              <a16:creationId xmlns:a16="http://schemas.microsoft.com/office/drawing/2014/main" id="{98155B5F-FE43-8153-0374-B5416429F6A6}"/>
            </a:ext>
          </a:extLst>
        </xdr:cNvPr>
        <xdr:cNvCxnSpPr/>
      </xdr:nvCxnSpPr>
      <xdr:spPr>
        <a:xfrm flipV="1">
          <a:off x="35096735" y="6032032"/>
          <a:ext cx="36720" cy="26679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123214</xdr:colOff>
      <xdr:row>18</xdr:row>
      <xdr:rowOff>273451</xdr:rowOff>
    </xdr:from>
    <xdr:to>
      <xdr:col>126</xdr:col>
      <xdr:colOff>170383</xdr:colOff>
      <xdr:row>18</xdr:row>
      <xdr:rowOff>300684</xdr:rowOff>
    </xdr:to>
    <xdr:cxnSp macro="">
      <xdr:nvCxnSpPr>
        <xdr:cNvPr id="5596" name="MinuteMarker9_10">
          <a:extLst>
            <a:ext uri="{FF2B5EF4-FFF2-40B4-BE49-F238E27FC236}">
              <a16:creationId xmlns:a16="http://schemas.microsoft.com/office/drawing/2014/main" id="{C91AAC63-0F5B-EBDD-78B7-2378AA32F52D}"/>
            </a:ext>
          </a:extLst>
        </xdr:cNvPr>
        <xdr:cNvCxnSpPr/>
      </xdr:nvCxnSpPr>
      <xdr:spPr>
        <a:xfrm flipH="1">
          <a:off x="35127589" y="6112276"/>
          <a:ext cx="47169" cy="27233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177760</xdr:colOff>
      <xdr:row>18</xdr:row>
      <xdr:rowOff>349341</xdr:rowOff>
    </xdr:from>
    <xdr:to>
      <xdr:col>126</xdr:col>
      <xdr:colOff>219224</xdr:colOff>
      <xdr:row>18</xdr:row>
      <xdr:rowOff>367802</xdr:rowOff>
    </xdr:to>
    <xdr:cxnSp macro="">
      <xdr:nvCxnSpPr>
        <xdr:cNvPr id="5597" name="MinuteMarker9_11">
          <a:extLst>
            <a:ext uri="{FF2B5EF4-FFF2-40B4-BE49-F238E27FC236}">
              <a16:creationId xmlns:a16="http://schemas.microsoft.com/office/drawing/2014/main" id="{BF3027D0-790C-AEF9-7083-663713A9907A}"/>
            </a:ext>
          </a:extLst>
        </xdr:cNvPr>
        <xdr:cNvCxnSpPr/>
      </xdr:nvCxnSpPr>
      <xdr:spPr>
        <a:xfrm flipV="1">
          <a:off x="35182135" y="6188166"/>
          <a:ext cx="41464" cy="1846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208406</xdr:colOff>
      <xdr:row>19</xdr:row>
      <xdr:rowOff>24038</xdr:rowOff>
    </xdr:from>
    <xdr:to>
      <xdr:col>126</xdr:col>
      <xdr:colOff>251572</xdr:colOff>
      <xdr:row>19</xdr:row>
      <xdr:rowOff>38064</xdr:rowOff>
    </xdr:to>
    <xdr:cxnSp macro="">
      <xdr:nvCxnSpPr>
        <xdr:cNvPr id="5598" name="MinuteMarker9_12">
          <a:extLst>
            <a:ext uri="{FF2B5EF4-FFF2-40B4-BE49-F238E27FC236}">
              <a16:creationId xmlns:a16="http://schemas.microsoft.com/office/drawing/2014/main" id="{9DFB8518-1630-D471-FCC5-51BD5B1AAE7C}"/>
            </a:ext>
          </a:extLst>
        </xdr:cNvPr>
        <xdr:cNvCxnSpPr/>
      </xdr:nvCxnSpPr>
      <xdr:spPr>
        <a:xfrm flipV="1">
          <a:off x="35212781" y="6272438"/>
          <a:ext cx="43166" cy="14026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230541</xdr:colOff>
      <xdr:row>19</xdr:row>
      <xdr:rowOff>111229</xdr:rowOff>
    </xdr:from>
    <xdr:to>
      <xdr:col>126</xdr:col>
      <xdr:colOff>274935</xdr:colOff>
      <xdr:row>19</xdr:row>
      <xdr:rowOff>120666</xdr:rowOff>
    </xdr:to>
    <xdr:cxnSp macro="">
      <xdr:nvCxnSpPr>
        <xdr:cNvPr id="5599" name="MinuteMarker9_13">
          <a:extLst>
            <a:ext uri="{FF2B5EF4-FFF2-40B4-BE49-F238E27FC236}">
              <a16:creationId xmlns:a16="http://schemas.microsoft.com/office/drawing/2014/main" id="{70819043-6725-00B7-D0F1-5F03CFF13EF1}"/>
            </a:ext>
          </a:extLst>
        </xdr:cNvPr>
        <xdr:cNvCxnSpPr/>
      </xdr:nvCxnSpPr>
      <xdr:spPr>
        <a:xfrm flipV="1">
          <a:off x="35234916" y="6359629"/>
          <a:ext cx="44394" cy="943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243917</xdr:colOff>
      <xdr:row>19</xdr:row>
      <xdr:rowOff>200385</xdr:rowOff>
    </xdr:from>
    <xdr:to>
      <xdr:col>126</xdr:col>
      <xdr:colOff>289058</xdr:colOff>
      <xdr:row>19</xdr:row>
      <xdr:rowOff>205130</xdr:rowOff>
    </xdr:to>
    <xdr:cxnSp macro="">
      <xdr:nvCxnSpPr>
        <xdr:cNvPr id="5600" name="MinuteMarker9_14">
          <a:extLst>
            <a:ext uri="{FF2B5EF4-FFF2-40B4-BE49-F238E27FC236}">
              <a16:creationId xmlns:a16="http://schemas.microsoft.com/office/drawing/2014/main" id="{D6D6756F-7958-5150-0DAC-7E2ABED6588D}"/>
            </a:ext>
          </a:extLst>
        </xdr:cNvPr>
        <xdr:cNvCxnSpPr/>
      </xdr:nvCxnSpPr>
      <xdr:spPr>
        <a:xfrm flipV="1">
          <a:off x="35248292" y="6448785"/>
          <a:ext cx="45141" cy="474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230237</xdr:colOff>
      <xdr:row>19</xdr:row>
      <xdr:rowOff>290529</xdr:rowOff>
    </xdr:from>
    <xdr:to>
      <xdr:col>126</xdr:col>
      <xdr:colOff>284705</xdr:colOff>
      <xdr:row>19</xdr:row>
      <xdr:rowOff>290529</xdr:rowOff>
    </xdr:to>
    <xdr:cxnSp macro="">
      <xdr:nvCxnSpPr>
        <xdr:cNvPr id="5601" name="MinuteMarker9_15">
          <a:extLst>
            <a:ext uri="{FF2B5EF4-FFF2-40B4-BE49-F238E27FC236}">
              <a16:creationId xmlns:a16="http://schemas.microsoft.com/office/drawing/2014/main" id="{B3709411-E00A-E4B8-F444-42F2E69CFD86}"/>
            </a:ext>
          </a:extLst>
        </xdr:cNvPr>
        <xdr:cNvCxnSpPr/>
      </xdr:nvCxnSpPr>
      <xdr:spPr>
        <a:xfrm flipH="1">
          <a:off x="35234612" y="6538929"/>
          <a:ext cx="54468" cy="0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243917</xdr:colOff>
      <xdr:row>20</xdr:row>
      <xdr:rowOff>80653</xdr:rowOff>
    </xdr:from>
    <xdr:to>
      <xdr:col>126</xdr:col>
      <xdr:colOff>289058</xdr:colOff>
      <xdr:row>20</xdr:row>
      <xdr:rowOff>85398</xdr:rowOff>
    </xdr:to>
    <xdr:cxnSp macro="">
      <xdr:nvCxnSpPr>
        <xdr:cNvPr id="5602" name="MinuteMarker9_16">
          <a:extLst>
            <a:ext uri="{FF2B5EF4-FFF2-40B4-BE49-F238E27FC236}">
              <a16:creationId xmlns:a16="http://schemas.microsoft.com/office/drawing/2014/main" id="{F379E04F-5A24-ADC2-DEC4-123E1A7A6781}"/>
            </a:ext>
          </a:extLst>
        </xdr:cNvPr>
        <xdr:cNvCxnSpPr/>
      </xdr:nvCxnSpPr>
      <xdr:spPr>
        <a:xfrm>
          <a:off x="35248292" y="6624328"/>
          <a:ext cx="45141" cy="474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230541</xdr:colOff>
      <xdr:row>20</xdr:row>
      <xdr:rowOff>165117</xdr:rowOff>
    </xdr:from>
    <xdr:to>
      <xdr:col>126</xdr:col>
      <xdr:colOff>274935</xdr:colOff>
      <xdr:row>20</xdr:row>
      <xdr:rowOff>174554</xdr:rowOff>
    </xdr:to>
    <xdr:cxnSp macro="">
      <xdr:nvCxnSpPr>
        <xdr:cNvPr id="5603" name="MinuteMarker9_17">
          <a:extLst>
            <a:ext uri="{FF2B5EF4-FFF2-40B4-BE49-F238E27FC236}">
              <a16:creationId xmlns:a16="http://schemas.microsoft.com/office/drawing/2014/main" id="{DA82E472-315F-1B67-189C-EB3F16E0C053}"/>
            </a:ext>
          </a:extLst>
        </xdr:cNvPr>
        <xdr:cNvCxnSpPr/>
      </xdr:nvCxnSpPr>
      <xdr:spPr>
        <a:xfrm>
          <a:off x="35234916" y="6708792"/>
          <a:ext cx="44394" cy="943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208406</xdr:colOff>
      <xdr:row>20</xdr:row>
      <xdr:rowOff>247719</xdr:rowOff>
    </xdr:from>
    <xdr:to>
      <xdr:col>126</xdr:col>
      <xdr:colOff>251572</xdr:colOff>
      <xdr:row>20</xdr:row>
      <xdr:rowOff>261745</xdr:rowOff>
    </xdr:to>
    <xdr:cxnSp macro="">
      <xdr:nvCxnSpPr>
        <xdr:cNvPr id="5604" name="MinuteMarker9_18">
          <a:extLst>
            <a:ext uri="{FF2B5EF4-FFF2-40B4-BE49-F238E27FC236}">
              <a16:creationId xmlns:a16="http://schemas.microsoft.com/office/drawing/2014/main" id="{56CFD045-6FDC-F84A-B936-C3F90989C713}"/>
            </a:ext>
          </a:extLst>
        </xdr:cNvPr>
        <xdr:cNvCxnSpPr/>
      </xdr:nvCxnSpPr>
      <xdr:spPr>
        <a:xfrm>
          <a:off x="35212781" y="6791394"/>
          <a:ext cx="43166" cy="14026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177760</xdr:colOff>
      <xdr:row>21</xdr:row>
      <xdr:rowOff>32281</xdr:rowOff>
    </xdr:from>
    <xdr:to>
      <xdr:col>126</xdr:col>
      <xdr:colOff>219224</xdr:colOff>
      <xdr:row>21</xdr:row>
      <xdr:rowOff>50742</xdr:rowOff>
    </xdr:to>
    <xdr:cxnSp macro="">
      <xdr:nvCxnSpPr>
        <xdr:cNvPr id="5605" name="MinuteMarker9_19">
          <a:extLst>
            <a:ext uri="{FF2B5EF4-FFF2-40B4-BE49-F238E27FC236}">
              <a16:creationId xmlns:a16="http://schemas.microsoft.com/office/drawing/2014/main" id="{BBC7669F-3D6F-C37B-099C-B6499FB9514F}"/>
            </a:ext>
          </a:extLst>
        </xdr:cNvPr>
        <xdr:cNvCxnSpPr/>
      </xdr:nvCxnSpPr>
      <xdr:spPr>
        <a:xfrm>
          <a:off x="35182135" y="6871231"/>
          <a:ext cx="41464" cy="1846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123214</xdr:colOff>
      <xdr:row>21</xdr:row>
      <xdr:rowOff>99399</xdr:rowOff>
    </xdr:from>
    <xdr:to>
      <xdr:col>126</xdr:col>
      <xdr:colOff>170383</xdr:colOff>
      <xdr:row>21</xdr:row>
      <xdr:rowOff>126632</xdr:rowOff>
    </xdr:to>
    <xdr:cxnSp macro="">
      <xdr:nvCxnSpPr>
        <xdr:cNvPr id="5606" name="MinuteMarker9_20">
          <a:extLst>
            <a:ext uri="{FF2B5EF4-FFF2-40B4-BE49-F238E27FC236}">
              <a16:creationId xmlns:a16="http://schemas.microsoft.com/office/drawing/2014/main" id="{7430B746-B49A-1E2D-AEED-89268639645B}"/>
            </a:ext>
          </a:extLst>
        </xdr:cNvPr>
        <xdr:cNvCxnSpPr/>
      </xdr:nvCxnSpPr>
      <xdr:spPr>
        <a:xfrm flipH="1" flipV="1">
          <a:off x="35127589" y="6938349"/>
          <a:ext cx="47169" cy="27233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92360</xdr:colOff>
      <xdr:row>21</xdr:row>
      <xdr:rowOff>180197</xdr:rowOff>
    </xdr:from>
    <xdr:to>
      <xdr:col>126</xdr:col>
      <xdr:colOff>129080</xdr:colOff>
      <xdr:row>21</xdr:row>
      <xdr:rowOff>206876</xdr:rowOff>
    </xdr:to>
    <xdr:cxnSp macro="">
      <xdr:nvCxnSpPr>
        <xdr:cNvPr id="5607" name="MinuteMarker9_21">
          <a:extLst>
            <a:ext uri="{FF2B5EF4-FFF2-40B4-BE49-F238E27FC236}">
              <a16:creationId xmlns:a16="http://schemas.microsoft.com/office/drawing/2014/main" id="{B550A151-3D47-002E-4B78-93635052FFFD}"/>
            </a:ext>
          </a:extLst>
        </xdr:cNvPr>
        <xdr:cNvCxnSpPr/>
      </xdr:nvCxnSpPr>
      <xdr:spPr>
        <a:xfrm>
          <a:off x="35096735" y="7019147"/>
          <a:ext cx="36720" cy="26679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38543</xdr:colOff>
      <xdr:row>21</xdr:row>
      <xdr:rowOff>246655</xdr:rowOff>
    </xdr:from>
    <xdr:to>
      <xdr:col>126</xdr:col>
      <xdr:colOff>72275</xdr:colOff>
      <xdr:row>21</xdr:row>
      <xdr:rowOff>277027</xdr:rowOff>
    </xdr:to>
    <xdr:cxnSp macro="">
      <xdr:nvCxnSpPr>
        <xdr:cNvPr id="5608" name="MinuteMarker9_22">
          <a:extLst>
            <a:ext uri="{FF2B5EF4-FFF2-40B4-BE49-F238E27FC236}">
              <a16:creationId xmlns:a16="http://schemas.microsoft.com/office/drawing/2014/main" id="{77E2257B-E1D3-2149-8BAF-07C5DB2EBCA4}"/>
            </a:ext>
          </a:extLst>
        </xdr:cNvPr>
        <xdr:cNvCxnSpPr/>
      </xdr:nvCxnSpPr>
      <xdr:spPr>
        <a:xfrm>
          <a:off x="35042918" y="7085605"/>
          <a:ext cx="33732" cy="30372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125</xdr:col>
      <xdr:colOff>359073</xdr:colOff>
      <xdr:row>21</xdr:row>
      <xdr:rowOff>307125</xdr:rowOff>
    </xdr:from>
    <xdr:to>
      <xdr:col>126</xdr:col>
      <xdr:colOff>8446</xdr:colOff>
      <xdr:row>21</xdr:row>
      <xdr:rowOff>340855</xdr:rowOff>
    </xdr:to>
    <xdr:cxnSp macro="">
      <xdr:nvCxnSpPr>
        <xdr:cNvPr id="5609" name="MinuteMarker9_23">
          <a:extLst>
            <a:ext uri="{FF2B5EF4-FFF2-40B4-BE49-F238E27FC236}">
              <a16:creationId xmlns:a16="http://schemas.microsoft.com/office/drawing/2014/main" id="{3AB22628-335C-1CDA-9C1A-488F0010EE7D}"/>
            </a:ext>
          </a:extLst>
        </xdr:cNvPr>
        <xdr:cNvCxnSpPr/>
      </xdr:nvCxnSpPr>
      <xdr:spPr>
        <a:xfrm>
          <a:off x="34982448" y="7146075"/>
          <a:ext cx="30373" cy="3373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125</xdr:col>
      <xdr:colOff>292615</xdr:colOff>
      <xdr:row>21</xdr:row>
      <xdr:rowOff>360942</xdr:rowOff>
    </xdr:from>
    <xdr:to>
      <xdr:col>125</xdr:col>
      <xdr:colOff>319295</xdr:colOff>
      <xdr:row>21</xdr:row>
      <xdr:rowOff>397662</xdr:rowOff>
    </xdr:to>
    <xdr:cxnSp macro="">
      <xdr:nvCxnSpPr>
        <xdr:cNvPr id="5610" name="MinuteMarker9_24">
          <a:extLst>
            <a:ext uri="{FF2B5EF4-FFF2-40B4-BE49-F238E27FC236}">
              <a16:creationId xmlns:a16="http://schemas.microsoft.com/office/drawing/2014/main" id="{103732A3-20C4-6515-4B79-581FA3A2B4A0}"/>
            </a:ext>
          </a:extLst>
        </xdr:cNvPr>
        <xdr:cNvCxnSpPr/>
      </xdr:nvCxnSpPr>
      <xdr:spPr>
        <a:xfrm>
          <a:off x="34915990" y="7199892"/>
          <a:ext cx="26680" cy="3672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125</xdr:col>
      <xdr:colOff>211817</xdr:colOff>
      <xdr:row>21</xdr:row>
      <xdr:rowOff>391795</xdr:rowOff>
    </xdr:from>
    <xdr:to>
      <xdr:col>125</xdr:col>
      <xdr:colOff>239052</xdr:colOff>
      <xdr:row>22</xdr:row>
      <xdr:rowOff>29389</xdr:rowOff>
    </xdr:to>
    <xdr:cxnSp macro="">
      <xdr:nvCxnSpPr>
        <xdr:cNvPr id="5611" name="MinuteMarker9_25">
          <a:extLst>
            <a:ext uri="{FF2B5EF4-FFF2-40B4-BE49-F238E27FC236}">
              <a16:creationId xmlns:a16="http://schemas.microsoft.com/office/drawing/2014/main" id="{02DCE45E-B92D-ED84-2787-7B69CE1F4F71}"/>
            </a:ext>
          </a:extLst>
        </xdr:cNvPr>
        <xdr:cNvCxnSpPr/>
      </xdr:nvCxnSpPr>
      <xdr:spPr>
        <a:xfrm flipH="1" flipV="1">
          <a:off x="34835192" y="7230745"/>
          <a:ext cx="27235" cy="47169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125</xdr:col>
      <xdr:colOff>144698</xdr:colOff>
      <xdr:row>22</xdr:row>
      <xdr:rowOff>36766</xdr:rowOff>
    </xdr:from>
    <xdr:to>
      <xdr:col>125</xdr:col>
      <xdr:colOff>163162</xdr:colOff>
      <xdr:row>22</xdr:row>
      <xdr:rowOff>78231</xdr:rowOff>
    </xdr:to>
    <xdr:cxnSp macro="">
      <xdr:nvCxnSpPr>
        <xdr:cNvPr id="5612" name="MinuteMarker9_26">
          <a:extLst>
            <a:ext uri="{FF2B5EF4-FFF2-40B4-BE49-F238E27FC236}">
              <a16:creationId xmlns:a16="http://schemas.microsoft.com/office/drawing/2014/main" id="{61184ED4-3411-354C-2DAE-CB0F7EED7818}"/>
            </a:ext>
          </a:extLst>
        </xdr:cNvPr>
        <xdr:cNvCxnSpPr/>
      </xdr:nvCxnSpPr>
      <xdr:spPr>
        <a:xfrm>
          <a:off x="34768073" y="7285291"/>
          <a:ext cx="18464" cy="4146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125</xdr:col>
      <xdr:colOff>64864</xdr:colOff>
      <xdr:row>22</xdr:row>
      <xdr:rowOff>67412</xdr:rowOff>
    </xdr:from>
    <xdr:to>
      <xdr:col>125</xdr:col>
      <xdr:colOff>78888</xdr:colOff>
      <xdr:row>22</xdr:row>
      <xdr:rowOff>110579</xdr:rowOff>
    </xdr:to>
    <xdr:cxnSp macro="">
      <xdr:nvCxnSpPr>
        <xdr:cNvPr id="5613" name="MinuteMarker9_27">
          <a:extLst>
            <a:ext uri="{FF2B5EF4-FFF2-40B4-BE49-F238E27FC236}">
              <a16:creationId xmlns:a16="http://schemas.microsoft.com/office/drawing/2014/main" id="{1B884E33-B7AF-86F9-6383-C8B6A4247145}"/>
            </a:ext>
          </a:extLst>
        </xdr:cNvPr>
        <xdr:cNvCxnSpPr/>
      </xdr:nvCxnSpPr>
      <xdr:spPr>
        <a:xfrm>
          <a:off x="34688239" y="7315937"/>
          <a:ext cx="14024" cy="4316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124</xdr:col>
      <xdr:colOff>363262</xdr:colOff>
      <xdr:row>22</xdr:row>
      <xdr:rowOff>89546</xdr:rowOff>
    </xdr:from>
    <xdr:to>
      <xdr:col>124</xdr:col>
      <xdr:colOff>372697</xdr:colOff>
      <xdr:row>22</xdr:row>
      <xdr:rowOff>133942</xdr:rowOff>
    </xdr:to>
    <xdr:cxnSp macro="">
      <xdr:nvCxnSpPr>
        <xdr:cNvPr id="5614" name="MinuteMarker9_28">
          <a:extLst>
            <a:ext uri="{FF2B5EF4-FFF2-40B4-BE49-F238E27FC236}">
              <a16:creationId xmlns:a16="http://schemas.microsoft.com/office/drawing/2014/main" id="{EA6C5C3E-3606-A184-25DE-D29BACD169F9}"/>
            </a:ext>
          </a:extLst>
        </xdr:cNvPr>
        <xdr:cNvCxnSpPr/>
      </xdr:nvCxnSpPr>
      <xdr:spPr>
        <a:xfrm>
          <a:off x="34605637" y="7338071"/>
          <a:ext cx="9435" cy="44396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124</xdr:col>
      <xdr:colOff>278795</xdr:colOff>
      <xdr:row>22</xdr:row>
      <xdr:rowOff>102923</xdr:rowOff>
    </xdr:from>
    <xdr:to>
      <xdr:col>124</xdr:col>
      <xdr:colOff>283542</xdr:colOff>
      <xdr:row>22</xdr:row>
      <xdr:rowOff>148064</xdr:rowOff>
    </xdr:to>
    <xdr:cxnSp macro="">
      <xdr:nvCxnSpPr>
        <xdr:cNvPr id="5615" name="MinuteMarker9_29">
          <a:extLst>
            <a:ext uri="{FF2B5EF4-FFF2-40B4-BE49-F238E27FC236}">
              <a16:creationId xmlns:a16="http://schemas.microsoft.com/office/drawing/2014/main" id="{904260D2-F84D-0732-C566-F7245D9DDA15}"/>
            </a:ext>
          </a:extLst>
        </xdr:cNvPr>
        <xdr:cNvCxnSpPr/>
      </xdr:nvCxnSpPr>
      <xdr:spPr>
        <a:xfrm>
          <a:off x="34521170" y="7351448"/>
          <a:ext cx="4747" cy="4514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124</xdr:col>
      <xdr:colOff>193396</xdr:colOff>
      <xdr:row>22</xdr:row>
      <xdr:rowOff>89243</xdr:rowOff>
    </xdr:from>
    <xdr:to>
      <xdr:col>124</xdr:col>
      <xdr:colOff>193396</xdr:colOff>
      <xdr:row>22</xdr:row>
      <xdr:rowOff>143710</xdr:rowOff>
    </xdr:to>
    <xdr:cxnSp macro="">
      <xdr:nvCxnSpPr>
        <xdr:cNvPr id="5616" name="MinuteMarker9_30">
          <a:extLst>
            <a:ext uri="{FF2B5EF4-FFF2-40B4-BE49-F238E27FC236}">
              <a16:creationId xmlns:a16="http://schemas.microsoft.com/office/drawing/2014/main" id="{F8D39AEC-5021-B884-C30F-69A06B973590}"/>
            </a:ext>
          </a:extLst>
        </xdr:cNvPr>
        <xdr:cNvCxnSpPr/>
      </xdr:nvCxnSpPr>
      <xdr:spPr>
        <a:xfrm flipV="1">
          <a:off x="34435771" y="7337768"/>
          <a:ext cx="0" cy="54467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124</xdr:col>
      <xdr:colOff>103253</xdr:colOff>
      <xdr:row>22</xdr:row>
      <xdr:rowOff>102923</xdr:rowOff>
    </xdr:from>
    <xdr:to>
      <xdr:col>124</xdr:col>
      <xdr:colOff>108000</xdr:colOff>
      <xdr:row>22</xdr:row>
      <xdr:rowOff>148064</xdr:rowOff>
    </xdr:to>
    <xdr:cxnSp macro="">
      <xdr:nvCxnSpPr>
        <xdr:cNvPr id="5617" name="MinuteMarker9_31">
          <a:extLst>
            <a:ext uri="{FF2B5EF4-FFF2-40B4-BE49-F238E27FC236}">
              <a16:creationId xmlns:a16="http://schemas.microsoft.com/office/drawing/2014/main" id="{CD6D74F0-3982-D174-7FC7-ACD50A1E7196}"/>
            </a:ext>
          </a:extLst>
        </xdr:cNvPr>
        <xdr:cNvCxnSpPr/>
      </xdr:nvCxnSpPr>
      <xdr:spPr>
        <a:xfrm flipH="1">
          <a:off x="34345628" y="7351448"/>
          <a:ext cx="4747" cy="4514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124</xdr:col>
      <xdr:colOff>14098</xdr:colOff>
      <xdr:row>22</xdr:row>
      <xdr:rowOff>89546</xdr:rowOff>
    </xdr:from>
    <xdr:to>
      <xdr:col>124</xdr:col>
      <xdr:colOff>23533</xdr:colOff>
      <xdr:row>22</xdr:row>
      <xdr:rowOff>133942</xdr:rowOff>
    </xdr:to>
    <xdr:cxnSp macro="">
      <xdr:nvCxnSpPr>
        <xdr:cNvPr id="5618" name="MinuteMarker9_32">
          <a:extLst>
            <a:ext uri="{FF2B5EF4-FFF2-40B4-BE49-F238E27FC236}">
              <a16:creationId xmlns:a16="http://schemas.microsoft.com/office/drawing/2014/main" id="{6F5993B0-AC63-DC15-C60B-E682978450E5}"/>
            </a:ext>
          </a:extLst>
        </xdr:cNvPr>
        <xdr:cNvCxnSpPr/>
      </xdr:nvCxnSpPr>
      <xdr:spPr>
        <a:xfrm flipH="1">
          <a:off x="34256473" y="7338071"/>
          <a:ext cx="9435" cy="44396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307907</xdr:colOff>
      <xdr:row>22</xdr:row>
      <xdr:rowOff>67412</xdr:rowOff>
    </xdr:from>
    <xdr:to>
      <xdr:col>123</xdr:col>
      <xdr:colOff>321931</xdr:colOff>
      <xdr:row>22</xdr:row>
      <xdr:rowOff>110579</xdr:rowOff>
    </xdr:to>
    <xdr:cxnSp macro="">
      <xdr:nvCxnSpPr>
        <xdr:cNvPr id="5619" name="MinuteMarker9_33">
          <a:extLst>
            <a:ext uri="{FF2B5EF4-FFF2-40B4-BE49-F238E27FC236}">
              <a16:creationId xmlns:a16="http://schemas.microsoft.com/office/drawing/2014/main" id="{1544D159-9ABF-3E75-B782-B442D471CA03}"/>
            </a:ext>
          </a:extLst>
        </xdr:cNvPr>
        <xdr:cNvCxnSpPr/>
      </xdr:nvCxnSpPr>
      <xdr:spPr>
        <a:xfrm flipH="1">
          <a:off x="34169282" y="7315937"/>
          <a:ext cx="14024" cy="4316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223633</xdr:colOff>
      <xdr:row>22</xdr:row>
      <xdr:rowOff>36766</xdr:rowOff>
    </xdr:from>
    <xdr:to>
      <xdr:col>123</xdr:col>
      <xdr:colOff>242097</xdr:colOff>
      <xdr:row>22</xdr:row>
      <xdr:rowOff>78231</xdr:rowOff>
    </xdr:to>
    <xdr:cxnSp macro="">
      <xdr:nvCxnSpPr>
        <xdr:cNvPr id="5620" name="MinuteMarker9_34">
          <a:extLst>
            <a:ext uri="{FF2B5EF4-FFF2-40B4-BE49-F238E27FC236}">
              <a16:creationId xmlns:a16="http://schemas.microsoft.com/office/drawing/2014/main" id="{64E748B3-3D67-DCD2-49E8-5828A3647E6F}"/>
            </a:ext>
          </a:extLst>
        </xdr:cNvPr>
        <xdr:cNvCxnSpPr/>
      </xdr:nvCxnSpPr>
      <xdr:spPr>
        <a:xfrm flipH="1">
          <a:off x="34085008" y="7285291"/>
          <a:ext cx="18464" cy="4146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147743</xdr:colOff>
      <xdr:row>21</xdr:row>
      <xdr:rowOff>391795</xdr:rowOff>
    </xdr:from>
    <xdr:to>
      <xdr:col>123</xdr:col>
      <xdr:colOff>174978</xdr:colOff>
      <xdr:row>22</xdr:row>
      <xdr:rowOff>29389</xdr:rowOff>
    </xdr:to>
    <xdr:cxnSp macro="">
      <xdr:nvCxnSpPr>
        <xdr:cNvPr id="5621" name="MinuteMarker9_35">
          <a:extLst>
            <a:ext uri="{FF2B5EF4-FFF2-40B4-BE49-F238E27FC236}">
              <a16:creationId xmlns:a16="http://schemas.microsoft.com/office/drawing/2014/main" id="{94889B8A-C07F-CFEB-192E-A7AD8B26492F}"/>
            </a:ext>
          </a:extLst>
        </xdr:cNvPr>
        <xdr:cNvCxnSpPr/>
      </xdr:nvCxnSpPr>
      <xdr:spPr>
        <a:xfrm flipV="1">
          <a:off x="34009118" y="7230745"/>
          <a:ext cx="27235" cy="47169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67500</xdr:colOff>
      <xdr:row>21</xdr:row>
      <xdr:rowOff>360942</xdr:rowOff>
    </xdr:from>
    <xdr:to>
      <xdr:col>123</xdr:col>
      <xdr:colOff>94180</xdr:colOff>
      <xdr:row>21</xdr:row>
      <xdr:rowOff>397662</xdr:rowOff>
    </xdr:to>
    <xdr:cxnSp macro="">
      <xdr:nvCxnSpPr>
        <xdr:cNvPr id="5622" name="MinuteMarker9_36">
          <a:extLst>
            <a:ext uri="{FF2B5EF4-FFF2-40B4-BE49-F238E27FC236}">
              <a16:creationId xmlns:a16="http://schemas.microsoft.com/office/drawing/2014/main" id="{379EB016-7841-968F-5B07-D703DDFB2062}"/>
            </a:ext>
          </a:extLst>
        </xdr:cNvPr>
        <xdr:cNvCxnSpPr/>
      </xdr:nvCxnSpPr>
      <xdr:spPr>
        <a:xfrm flipH="1">
          <a:off x="33928875" y="7199892"/>
          <a:ext cx="26680" cy="3672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378349</xdr:colOff>
      <xdr:row>21</xdr:row>
      <xdr:rowOff>307125</xdr:rowOff>
    </xdr:from>
    <xdr:to>
      <xdr:col>123</xdr:col>
      <xdr:colOff>27722</xdr:colOff>
      <xdr:row>21</xdr:row>
      <xdr:rowOff>340855</xdr:rowOff>
    </xdr:to>
    <xdr:cxnSp macro="">
      <xdr:nvCxnSpPr>
        <xdr:cNvPr id="5623" name="MinuteMarker9_37">
          <a:extLst>
            <a:ext uri="{FF2B5EF4-FFF2-40B4-BE49-F238E27FC236}">
              <a16:creationId xmlns:a16="http://schemas.microsoft.com/office/drawing/2014/main" id="{E243A895-9181-D63C-7C13-96C577D3A2F6}"/>
            </a:ext>
          </a:extLst>
        </xdr:cNvPr>
        <xdr:cNvCxnSpPr/>
      </xdr:nvCxnSpPr>
      <xdr:spPr>
        <a:xfrm flipH="1">
          <a:off x="33858724" y="7146075"/>
          <a:ext cx="30373" cy="3373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314520</xdr:colOff>
      <xdr:row>21</xdr:row>
      <xdr:rowOff>246655</xdr:rowOff>
    </xdr:from>
    <xdr:to>
      <xdr:col>122</xdr:col>
      <xdr:colOff>348252</xdr:colOff>
      <xdr:row>21</xdr:row>
      <xdr:rowOff>277027</xdr:rowOff>
    </xdr:to>
    <xdr:cxnSp macro="">
      <xdr:nvCxnSpPr>
        <xdr:cNvPr id="5624" name="MinuteMarker9_38">
          <a:extLst>
            <a:ext uri="{FF2B5EF4-FFF2-40B4-BE49-F238E27FC236}">
              <a16:creationId xmlns:a16="http://schemas.microsoft.com/office/drawing/2014/main" id="{D5680E3A-A2CF-DE69-1959-BD529C0A3687}"/>
            </a:ext>
          </a:extLst>
        </xdr:cNvPr>
        <xdr:cNvCxnSpPr/>
      </xdr:nvCxnSpPr>
      <xdr:spPr>
        <a:xfrm flipH="1">
          <a:off x="33794895" y="7085605"/>
          <a:ext cx="33732" cy="30372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257715</xdr:colOff>
      <xdr:row>21</xdr:row>
      <xdr:rowOff>180197</xdr:rowOff>
    </xdr:from>
    <xdr:to>
      <xdr:col>122</xdr:col>
      <xdr:colOff>294435</xdr:colOff>
      <xdr:row>21</xdr:row>
      <xdr:rowOff>206876</xdr:rowOff>
    </xdr:to>
    <xdr:cxnSp macro="">
      <xdr:nvCxnSpPr>
        <xdr:cNvPr id="5625" name="MinuteMarker9_39">
          <a:extLst>
            <a:ext uri="{FF2B5EF4-FFF2-40B4-BE49-F238E27FC236}">
              <a16:creationId xmlns:a16="http://schemas.microsoft.com/office/drawing/2014/main" id="{9382B213-4186-2C98-4056-DED433F2C83D}"/>
            </a:ext>
          </a:extLst>
        </xdr:cNvPr>
        <xdr:cNvCxnSpPr/>
      </xdr:nvCxnSpPr>
      <xdr:spPr>
        <a:xfrm flipH="1">
          <a:off x="33738090" y="7019147"/>
          <a:ext cx="36720" cy="26679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216412</xdr:colOff>
      <xdr:row>21</xdr:row>
      <xdr:rowOff>99399</xdr:rowOff>
    </xdr:from>
    <xdr:to>
      <xdr:col>122</xdr:col>
      <xdr:colOff>263581</xdr:colOff>
      <xdr:row>21</xdr:row>
      <xdr:rowOff>126632</xdr:rowOff>
    </xdr:to>
    <xdr:cxnSp macro="">
      <xdr:nvCxnSpPr>
        <xdr:cNvPr id="5626" name="MinuteMarker9_40">
          <a:extLst>
            <a:ext uri="{FF2B5EF4-FFF2-40B4-BE49-F238E27FC236}">
              <a16:creationId xmlns:a16="http://schemas.microsoft.com/office/drawing/2014/main" id="{0A13C96F-16D9-A5B9-E62F-9920B971C6FB}"/>
            </a:ext>
          </a:extLst>
        </xdr:cNvPr>
        <xdr:cNvCxnSpPr/>
      </xdr:nvCxnSpPr>
      <xdr:spPr>
        <a:xfrm flipV="1">
          <a:off x="33696787" y="6938349"/>
          <a:ext cx="47169" cy="27233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167571</xdr:colOff>
      <xdr:row>21</xdr:row>
      <xdr:rowOff>32281</xdr:rowOff>
    </xdr:from>
    <xdr:to>
      <xdr:col>122</xdr:col>
      <xdr:colOff>209035</xdr:colOff>
      <xdr:row>21</xdr:row>
      <xdr:rowOff>50742</xdr:rowOff>
    </xdr:to>
    <xdr:cxnSp macro="">
      <xdr:nvCxnSpPr>
        <xdr:cNvPr id="5627" name="MinuteMarker9_41">
          <a:extLst>
            <a:ext uri="{FF2B5EF4-FFF2-40B4-BE49-F238E27FC236}">
              <a16:creationId xmlns:a16="http://schemas.microsoft.com/office/drawing/2014/main" id="{7E65AF23-8225-DDBB-4412-4DBE63524E68}"/>
            </a:ext>
          </a:extLst>
        </xdr:cNvPr>
        <xdr:cNvCxnSpPr/>
      </xdr:nvCxnSpPr>
      <xdr:spPr>
        <a:xfrm flipH="1">
          <a:off x="33647946" y="6871231"/>
          <a:ext cx="41464" cy="1846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135223</xdr:colOff>
      <xdr:row>20</xdr:row>
      <xdr:rowOff>247719</xdr:rowOff>
    </xdr:from>
    <xdr:to>
      <xdr:col>122</xdr:col>
      <xdr:colOff>178389</xdr:colOff>
      <xdr:row>20</xdr:row>
      <xdr:rowOff>261745</xdr:rowOff>
    </xdr:to>
    <xdr:cxnSp macro="">
      <xdr:nvCxnSpPr>
        <xdr:cNvPr id="5628" name="MinuteMarker9_42">
          <a:extLst>
            <a:ext uri="{FF2B5EF4-FFF2-40B4-BE49-F238E27FC236}">
              <a16:creationId xmlns:a16="http://schemas.microsoft.com/office/drawing/2014/main" id="{A52BEE35-EF90-2E59-A8B4-65163FAEA7E2}"/>
            </a:ext>
          </a:extLst>
        </xdr:cNvPr>
        <xdr:cNvCxnSpPr/>
      </xdr:nvCxnSpPr>
      <xdr:spPr>
        <a:xfrm flipH="1">
          <a:off x="33615598" y="6791394"/>
          <a:ext cx="43166" cy="14026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111860</xdr:colOff>
      <xdr:row>20</xdr:row>
      <xdr:rowOff>165117</xdr:rowOff>
    </xdr:from>
    <xdr:to>
      <xdr:col>122</xdr:col>
      <xdr:colOff>156254</xdr:colOff>
      <xdr:row>20</xdr:row>
      <xdr:rowOff>174554</xdr:rowOff>
    </xdr:to>
    <xdr:cxnSp macro="">
      <xdr:nvCxnSpPr>
        <xdr:cNvPr id="5629" name="MinuteMarker9_43">
          <a:extLst>
            <a:ext uri="{FF2B5EF4-FFF2-40B4-BE49-F238E27FC236}">
              <a16:creationId xmlns:a16="http://schemas.microsoft.com/office/drawing/2014/main" id="{46A6ED23-13EB-ED1B-3F7E-2E75B55C0D48}"/>
            </a:ext>
          </a:extLst>
        </xdr:cNvPr>
        <xdr:cNvCxnSpPr/>
      </xdr:nvCxnSpPr>
      <xdr:spPr>
        <a:xfrm flipH="1">
          <a:off x="33592235" y="6708792"/>
          <a:ext cx="44394" cy="943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97737</xdr:colOff>
      <xdr:row>20</xdr:row>
      <xdr:rowOff>80653</xdr:rowOff>
    </xdr:from>
    <xdr:to>
      <xdr:col>122</xdr:col>
      <xdr:colOff>142878</xdr:colOff>
      <xdr:row>20</xdr:row>
      <xdr:rowOff>85398</xdr:rowOff>
    </xdr:to>
    <xdr:cxnSp macro="">
      <xdr:nvCxnSpPr>
        <xdr:cNvPr id="5630" name="MinuteMarker9_44">
          <a:extLst>
            <a:ext uri="{FF2B5EF4-FFF2-40B4-BE49-F238E27FC236}">
              <a16:creationId xmlns:a16="http://schemas.microsoft.com/office/drawing/2014/main" id="{959AA355-3065-0D0C-51C6-124EF90DF6CC}"/>
            </a:ext>
          </a:extLst>
        </xdr:cNvPr>
        <xdr:cNvCxnSpPr/>
      </xdr:nvCxnSpPr>
      <xdr:spPr>
        <a:xfrm flipH="1">
          <a:off x="33578112" y="6624328"/>
          <a:ext cx="45141" cy="474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102090</xdr:colOff>
      <xdr:row>19</xdr:row>
      <xdr:rowOff>290529</xdr:rowOff>
    </xdr:from>
    <xdr:to>
      <xdr:col>122</xdr:col>
      <xdr:colOff>156558</xdr:colOff>
      <xdr:row>19</xdr:row>
      <xdr:rowOff>290529</xdr:rowOff>
    </xdr:to>
    <xdr:cxnSp macro="">
      <xdr:nvCxnSpPr>
        <xdr:cNvPr id="5631" name="MinuteMarker9_45">
          <a:extLst>
            <a:ext uri="{FF2B5EF4-FFF2-40B4-BE49-F238E27FC236}">
              <a16:creationId xmlns:a16="http://schemas.microsoft.com/office/drawing/2014/main" id="{AB7E426D-E873-8608-AC7E-3F86B23D392A}"/>
            </a:ext>
          </a:extLst>
        </xdr:cNvPr>
        <xdr:cNvCxnSpPr/>
      </xdr:nvCxnSpPr>
      <xdr:spPr>
        <a:xfrm>
          <a:off x="33582465" y="6538929"/>
          <a:ext cx="54468" cy="0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97737</xdr:colOff>
      <xdr:row>19</xdr:row>
      <xdr:rowOff>200385</xdr:rowOff>
    </xdr:from>
    <xdr:to>
      <xdr:col>122</xdr:col>
      <xdr:colOff>142878</xdr:colOff>
      <xdr:row>19</xdr:row>
      <xdr:rowOff>205130</xdr:rowOff>
    </xdr:to>
    <xdr:cxnSp macro="">
      <xdr:nvCxnSpPr>
        <xdr:cNvPr id="5632" name="MinuteMarker9_46">
          <a:extLst>
            <a:ext uri="{FF2B5EF4-FFF2-40B4-BE49-F238E27FC236}">
              <a16:creationId xmlns:a16="http://schemas.microsoft.com/office/drawing/2014/main" id="{B5C40AC9-8618-5743-C39B-61E47A2BDEF9}"/>
            </a:ext>
          </a:extLst>
        </xdr:cNvPr>
        <xdr:cNvCxnSpPr/>
      </xdr:nvCxnSpPr>
      <xdr:spPr>
        <a:xfrm flipH="1" flipV="1">
          <a:off x="33578112" y="6448785"/>
          <a:ext cx="45141" cy="474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111860</xdr:colOff>
      <xdr:row>19</xdr:row>
      <xdr:rowOff>111229</xdr:rowOff>
    </xdr:from>
    <xdr:to>
      <xdr:col>122</xdr:col>
      <xdr:colOff>156254</xdr:colOff>
      <xdr:row>19</xdr:row>
      <xdr:rowOff>120666</xdr:rowOff>
    </xdr:to>
    <xdr:cxnSp macro="">
      <xdr:nvCxnSpPr>
        <xdr:cNvPr id="5633" name="MinuteMarker9_47">
          <a:extLst>
            <a:ext uri="{FF2B5EF4-FFF2-40B4-BE49-F238E27FC236}">
              <a16:creationId xmlns:a16="http://schemas.microsoft.com/office/drawing/2014/main" id="{E5A4CFEF-7670-8085-0E9C-189353307585}"/>
            </a:ext>
          </a:extLst>
        </xdr:cNvPr>
        <xdr:cNvCxnSpPr/>
      </xdr:nvCxnSpPr>
      <xdr:spPr>
        <a:xfrm flipH="1" flipV="1">
          <a:off x="33592235" y="6359629"/>
          <a:ext cx="44394" cy="943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135223</xdr:colOff>
      <xdr:row>19</xdr:row>
      <xdr:rowOff>24038</xdr:rowOff>
    </xdr:from>
    <xdr:to>
      <xdr:col>122</xdr:col>
      <xdr:colOff>178389</xdr:colOff>
      <xdr:row>19</xdr:row>
      <xdr:rowOff>38064</xdr:rowOff>
    </xdr:to>
    <xdr:cxnSp macro="">
      <xdr:nvCxnSpPr>
        <xdr:cNvPr id="5634" name="MinuteMarker9_48">
          <a:extLst>
            <a:ext uri="{FF2B5EF4-FFF2-40B4-BE49-F238E27FC236}">
              <a16:creationId xmlns:a16="http://schemas.microsoft.com/office/drawing/2014/main" id="{B17DCFAE-6711-D980-69E6-24EC2EC8C842}"/>
            </a:ext>
          </a:extLst>
        </xdr:cNvPr>
        <xdr:cNvCxnSpPr/>
      </xdr:nvCxnSpPr>
      <xdr:spPr>
        <a:xfrm flipH="1" flipV="1">
          <a:off x="33615598" y="6272438"/>
          <a:ext cx="43166" cy="14026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167571</xdr:colOff>
      <xdr:row>18</xdr:row>
      <xdr:rowOff>349341</xdr:rowOff>
    </xdr:from>
    <xdr:to>
      <xdr:col>122</xdr:col>
      <xdr:colOff>209035</xdr:colOff>
      <xdr:row>18</xdr:row>
      <xdr:rowOff>367802</xdr:rowOff>
    </xdr:to>
    <xdr:cxnSp macro="">
      <xdr:nvCxnSpPr>
        <xdr:cNvPr id="5635" name="MinuteMarker9_49">
          <a:extLst>
            <a:ext uri="{FF2B5EF4-FFF2-40B4-BE49-F238E27FC236}">
              <a16:creationId xmlns:a16="http://schemas.microsoft.com/office/drawing/2014/main" id="{1E8D0834-1E70-9F2D-E72E-37A94FC1BD77}"/>
            </a:ext>
          </a:extLst>
        </xdr:cNvPr>
        <xdr:cNvCxnSpPr/>
      </xdr:nvCxnSpPr>
      <xdr:spPr>
        <a:xfrm flipH="1" flipV="1">
          <a:off x="33647946" y="6188166"/>
          <a:ext cx="41464" cy="1846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216412</xdr:colOff>
      <xdr:row>18</xdr:row>
      <xdr:rowOff>273451</xdr:rowOff>
    </xdr:from>
    <xdr:to>
      <xdr:col>122</xdr:col>
      <xdr:colOff>263581</xdr:colOff>
      <xdr:row>18</xdr:row>
      <xdr:rowOff>300684</xdr:rowOff>
    </xdr:to>
    <xdr:cxnSp macro="">
      <xdr:nvCxnSpPr>
        <xdr:cNvPr id="5636" name="MinuteMarker9_50">
          <a:extLst>
            <a:ext uri="{FF2B5EF4-FFF2-40B4-BE49-F238E27FC236}">
              <a16:creationId xmlns:a16="http://schemas.microsoft.com/office/drawing/2014/main" id="{45C4217A-9CE7-E768-F8B0-468CC118CAE4}"/>
            </a:ext>
          </a:extLst>
        </xdr:cNvPr>
        <xdr:cNvCxnSpPr/>
      </xdr:nvCxnSpPr>
      <xdr:spPr>
        <a:xfrm>
          <a:off x="33696787" y="6112276"/>
          <a:ext cx="47169" cy="27233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257715</xdr:colOff>
      <xdr:row>18</xdr:row>
      <xdr:rowOff>193207</xdr:rowOff>
    </xdr:from>
    <xdr:to>
      <xdr:col>122</xdr:col>
      <xdr:colOff>294435</xdr:colOff>
      <xdr:row>18</xdr:row>
      <xdr:rowOff>219886</xdr:rowOff>
    </xdr:to>
    <xdr:cxnSp macro="">
      <xdr:nvCxnSpPr>
        <xdr:cNvPr id="5637" name="MinuteMarker9_51">
          <a:extLst>
            <a:ext uri="{FF2B5EF4-FFF2-40B4-BE49-F238E27FC236}">
              <a16:creationId xmlns:a16="http://schemas.microsoft.com/office/drawing/2014/main" id="{416005E1-D3D0-BF58-C827-55B181DE0BB0}"/>
            </a:ext>
          </a:extLst>
        </xdr:cNvPr>
        <xdr:cNvCxnSpPr/>
      </xdr:nvCxnSpPr>
      <xdr:spPr>
        <a:xfrm flipH="1" flipV="1">
          <a:off x="33738090" y="6032032"/>
          <a:ext cx="36720" cy="26679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314520</xdr:colOff>
      <xdr:row>18</xdr:row>
      <xdr:rowOff>123056</xdr:rowOff>
    </xdr:from>
    <xdr:to>
      <xdr:col>122</xdr:col>
      <xdr:colOff>348252</xdr:colOff>
      <xdr:row>18</xdr:row>
      <xdr:rowOff>153427</xdr:rowOff>
    </xdr:to>
    <xdr:cxnSp macro="">
      <xdr:nvCxnSpPr>
        <xdr:cNvPr id="5638" name="MinuteMarker9_52">
          <a:extLst>
            <a:ext uri="{FF2B5EF4-FFF2-40B4-BE49-F238E27FC236}">
              <a16:creationId xmlns:a16="http://schemas.microsoft.com/office/drawing/2014/main" id="{198AEC3C-7466-4128-A48F-BB584F1BC93F}"/>
            </a:ext>
          </a:extLst>
        </xdr:cNvPr>
        <xdr:cNvCxnSpPr/>
      </xdr:nvCxnSpPr>
      <xdr:spPr>
        <a:xfrm flipH="1" flipV="1">
          <a:off x="33794895" y="5961881"/>
          <a:ext cx="33732" cy="30371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378349</xdr:colOff>
      <xdr:row>18</xdr:row>
      <xdr:rowOff>59228</xdr:rowOff>
    </xdr:from>
    <xdr:to>
      <xdr:col>123</xdr:col>
      <xdr:colOff>27722</xdr:colOff>
      <xdr:row>18</xdr:row>
      <xdr:rowOff>92958</xdr:rowOff>
    </xdr:to>
    <xdr:cxnSp macro="">
      <xdr:nvCxnSpPr>
        <xdr:cNvPr id="5639" name="MinuteMarker9_53">
          <a:extLst>
            <a:ext uri="{FF2B5EF4-FFF2-40B4-BE49-F238E27FC236}">
              <a16:creationId xmlns:a16="http://schemas.microsoft.com/office/drawing/2014/main" id="{C77ADC35-AC89-7FFD-D9AA-C14122AD904D}"/>
            </a:ext>
          </a:extLst>
        </xdr:cNvPr>
        <xdr:cNvCxnSpPr/>
      </xdr:nvCxnSpPr>
      <xdr:spPr>
        <a:xfrm flipH="1" flipV="1">
          <a:off x="33858724" y="5898053"/>
          <a:ext cx="30373" cy="3373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67500</xdr:colOff>
      <xdr:row>18</xdr:row>
      <xdr:rowOff>2421</xdr:rowOff>
    </xdr:from>
    <xdr:to>
      <xdr:col>123</xdr:col>
      <xdr:colOff>94180</xdr:colOff>
      <xdr:row>18</xdr:row>
      <xdr:rowOff>39141</xdr:rowOff>
    </xdr:to>
    <xdr:cxnSp macro="">
      <xdr:nvCxnSpPr>
        <xdr:cNvPr id="5640" name="MinuteMarker9_54">
          <a:extLst>
            <a:ext uri="{FF2B5EF4-FFF2-40B4-BE49-F238E27FC236}">
              <a16:creationId xmlns:a16="http://schemas.microsoft.com/office/drawing/2014/main" id="{AD7EE353-C7D4-6261-CC50-778BC7CDBB3A}"/>
            </a:ext>
          </a:extLst>
        </xdr:cNvPr>
        <xdr:cNvCxnSpPr/>
      </xdr:nvCxnSpPr>
      <xdr:spPr>
        <a:xfrm flipH="1" flipV="1">
          <a:off x="33928875" y="5841246"/>
          <a:ext cx="26680" cy="3672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147743</xdr:colOff>
      <xdr:row>17</xdr:row>
      <xdr:rowOff>256394</xdr:rowOff>
    </xdr:from>
    <xdr:to>
      <xdr:col>123</xdr:col>
      <xdr:colOff>174978</xdr:colOff>
      <xdr:row>18</xdr:row>
      <xdr:rowOff>8288</xdr:rowOff>
    </xdr:to>
    <xdr:cxnSp macro="">
      <xdr:nvCxnSpPr>
        <xdr:cNvPr id="5641" name="MinuteMarker9_55">
          <a:extLst>
            <a:ext uri="{FF2B5EF4-FFF2-40B4-BE49-F238E27FC236}">
              <a16:creationId xmlns:a16="http://schemas.microsoft.com/office/drawing/2014/main" id="{DDEF1C70-6581-AB41-5DC7-D5F573B9C38A}"/>
            </a:ext>
          </a:extLst>
        </xdr:cNvPr>
        <xdr:cNvCxnSpPr/>
      </xdr:nvCxnSpPr>
      <xdr:spPr>
        <a:xfrm>
          <a:off x="34009118" y="5799944"/>
          <a:ext cx="27235" cy="47169"/>
        </a:xfrm>
        <a:prstGeom prst="line">
          <a:avLst/>
        </a:prstGeom>
        <a:ln w="381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223633</xdr:colOff>
      <xdr:row>17</xdr:row>
      <xdr:rowOff>207552</xdr:rowOff>
    </xdr:from>
    <xdr:to>
      <xdr:col>123</xdr:col>
      <xdr:colOff>242097</xdr:colOff>
      <xdr:row>17</xdr:row>
      <xdr:rowOff>249017</xdr:rowOff>
    </xdr:to>
    <xdr:cxnSp macro="">
      <xdr:nvCxnSpPr>
        <xdr:cNvPr id="5642" name="MinuteMarker9_56">
          <a:extLst>
            <a:ext uri="{FF2B5EF4-FFF2-40B4-BE49-F238E27FC236}">
              <a16:creationId xmlns:a16="http://schemas.microsoft.com/office/drawing/2014/main" id="{670F87E5-08CD-47D0-D817-9CE4D2121692}"/>
            </a:ext>
          </a:extLst>
        </xdr:cNvPr>
        <xdr:cNvCxnSpPr/>
      </xdr:nvCxnSpPr>
      <xdr:spPr>
        <a:xfrm flipH="1" flipV="1">
          <a:off x="34085008" y="5751102"/>
          <a:ext cx="18464" cy="41465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307907</xdr:colOff>
      <xdr:row>17</xdr:row>
      <xdr:rowOff>175203</xdr:rowOff>
    </xdr:from>
    <xdr:to>
      <xdr:col>123</xdr:col>
      <xdr:colOff>321931</xdr:colOff>
      <xdr:row>17</xdr:row>
      <xdr:rowOff>218370</xdr:rowOff>
    </xdr:to>
    <xdr:cxnSp macro="">
      <xdr:nvCxnSpPr>
        <xdr:cNvPr id="5643" name="MinuteMarker9_57">
          <a:extLst>
            <a:ext uri="{FF2B5EF4-FFF2-40B4-BE49-F238E27FC236}">
              <a16:creationId xmlns:a16="http://schemas.microsoft.com/office/drawing/2014/main" id="{818FED58-8B6D-56DD-4A08-EAD9D775D859}"/>
            </a:ext>
          </a:extLst>
        </xdr:cNvPr>
        <xdr:cNvCxnSpPr/>
      </xdr:nvCxnSpPr>
      <xdr:spPr>
        <a:xfrm flipH="1" flipV="1">
          <a:off x="34169282" y="5718753"/>
          <a:ext cx="14024" cy="4316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124</xdr:col>
      <xdr:colOff>14098</xdr:colOff>
      <xdr:row>17</xdr:row>
      <xdr:rowOff>151840</xdr:rowOff>
    </xdr:from>
    <xdr:to>
      <xdr:col>124</xdr:col>
      <xdr:colOff>23533</xdr:colOff>
      <xdr:row>17</xdr:row>
      <xdr:rowOff>196237</xdr:rowOff>
    </xdr:to>
    <xdr:cxnSp macro="">
      <xdr:nvCxnSpPr>
        <xdr:cNvPr id="5644" name="MinuteMarker9_58">
          <a:extLst>
            <a:ext uri="{FF2B5EF4-FFF2-40B4-BE49-F238E27FC236}">
              <a16:creationId xmlns:a16="http://schemas.microsoft.com/office/drawing/2014/main" id="{84A88482-052B-7865-AC31-CDCB9CB754CB}"/>
            </a:ext>
          </a:extLst>
        </xdr:cNvPr>
        <xdr:cNvCxnSpPr/>
      </xdr:nvCxnSpPr>
      <xdr:spPr>
        <a:xfrm flipH="1" flipV="1">
          <a:off x="34256473" y="5695390"/>
          <a:ext cx="9435" cy="44397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124</xdr:col>
      <xdr:colOff>103253</xdr:colOff>
      <xdr:row>17</xdr:row>
      <xdr:rowOff>137719</xdr:rowOff>
    </xdr:from>
    <xdr:to>
      <xdr:col>124</xdr:col>
      <xdr:colOff>108000</xdr:colOff>
      <xdr:row>17</xdr:row>
      <xdr:rowOff>182859</xdr:rowOff>
    </xdr:to>
    <xdr:cxnSp macro="">
      <xdr:nvCxnSpPr>
        <xdr:cNvPr id="5645" name="MinuteMarker9_59">
          <a:extLst>
            <a:ext uri="{FF2B5EF4-FFF2-40B4-BE49-F238E27FC236}">
              <a16:creationId xmlns:a16="http://schemas.microsoft.com/office/drawing/2014/main" id="{BB0AFC38-111A-53A7-8A67-ED964166CBD7}"/>
            </a:ext>
          </a:extLst>
        </xdr:cNvPr>
        <xdr:cNvCxnSpPr/>
      </xdr:nvCxnSpPr>
      <xdr:spPr>
        <a:xfrm flipH="1" flipV="1">
          <a:off x="34345628" y="5681269"/>
          <a:ext cx="4747" cy="45140"/>
        </a:xfrm>
        <a:prstGeom prst="line">
          <a:avLst/>
        </a:prstGeom>
        <a:ln w="127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5175</xdr:colOff>
      <xdr:row>2</xdr:row>
      <xdr:rowOff>287063</xdr:rowOff>
    </xdr:from>
    <xdr:to>
      <xdr:col>114</xdr:col>
      <xdr:colOff>193396</xdr:colOff>
      <xdr:row>3</xdr:row>
      <xdr:rowOff>404807</xdr:rowOff>
    </xdr:to>
    <xdr:cxnSp macro="">
      <xdr:nvCxnSpPr>
        <xdr:cNvPr id="5664" name="HourHandPie1">
          <a:extLst>
            <a:ext uri="{FF2B5EF4-FFF2-40B4-BE49-F238E27FC236}">
              <a16:creationId xmlns:a16="http://schemas.microsoft.com/office/drawing/2014/main" id="{139750F0-DA4F-4A4F-739D-F156EB35D1BD}"/>
            </a:ext>
          </a:extLst>
        </xdr:cNvPr>
        <xdr:cNvCxnSpPr/>
      </xdr:nvCxnSpPr>
      <xdr:spPr>
        <a:xfrm flipH="1" flipV="1">
          <a:off x="30437550" y="829988"/>
          <a:ext cx="188221" cy="413019"/>
        </a:xfrm>
        <a:prstGeom prst="line">
          <a:avLst/>
        </a:prstGeom>
        <a:ln w="38100">
          <a:solidFill>
            <a:srgbClr val="00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193396</xdr:colOff>
      <xdr:row>3</xdr:row>
      <xdr:rowOff>127889</xdr:rowOff>
    </xdr:from>
    <xdr:to>
      <xdr:col>116</xdr:col>
      <xdr:colOff>53367</xdr:colOff>
      <xdr:row>3</xdr:row>
      <xdr:rowOff>404807</xdr:rowOff>
    </xdr:to>
    <xdr:cxnSp macro="">
      <xdr:nvCxnSpPr>
        <xdr:cNvPr id="5665" name="MinuteHandPie1">
          <a:extLst>
            <a:ext uri="{FF2B5EF4-FFF2-40B4-BE49-F238E27FC236}">
              <a16:creationId xmlns:a16="http://schemas.microsoft.com/office/drawing/2014/main" id="{52497690-D75A-29C4-0B9B-CF7D8E6D51F0}"/>
            </a:ext>
          </a:extLst>
        </xdr:cNvPr>
        <xdr:cNvCxnSpPr/>
      </xdr:nvCxnSpPr>
      <xdr:spPr>
        <a:xfrm flipV="1">
          <a:off x="30625771" y="966089"/>
          <a:ext cx="621971" cy="276918"/>
        </a:xfrm>
        <a:prstGeom prst="line">
          <a:avLst/>
        </a:prstGeom>
        <a:ln w="25400">
          <a:solidFill>
            <a:srgbClr val="00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118</xdr:col>
      <xdr:colOff>190813</xdr:colOff>
      <xdr:row>3</xdr:row>
      <xdr:rowOff>147734</xdr:rowOff>
    </xdr:from>
    <xdr:to>
      <xdr:col>119</xdr:col>
      <xdr:colOff>183871</xdr:colOff>
      <xdr:row>3</xdr:row>
      <xdr:rowOff>404818</xdr:rowOff>
    </xdr:to>
    <xdr:cxnSp macro="">
      <xdr:nvCxnSpPr>
        <xdr:cNvPr id="5666" name="HourHandPie2">
          <a:extLst>
            <a:ext uri="{FF2B5EF4-FFF2-40B4-BE49-F238E27FC236}">
              <a16:creationId xmlns:a16="http://schemas.microsoft.com/office/drawing/2014/main" id="{A67CCDAC-F887-2136-1410-A9BF4B09C86D}"/>
            </a:ext>
          </a:extLst>
        </xdr:cNvPr>
        <xdr:cNvCxnSpPr/>
      </xdr:nvCxnSpPr>
      <xdr:spPr>
        <a:xfrm flipH="1" flipV="1">
          <a:off x="32147188" y="985934"/>
          <a:ext cx="374058" cy="257084"/>
        </a:xfrm>
        <a:prstGeom prst="line">
          <a:avLst/>
        </a:prstGeom>
        <a:ln w="38100">
          <a:solidFill>
            <a:srgbClr val="00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183871</xdr:colOff>
      <xdr:row>3</xdr:row>
      <xdr:rowOff>4637</xdr:rowOff>
    </xdr:from>
    <xdr:to>
      <xdr:col>120</xdr:col>
      <xdr:colOff>353675</xdr:colOff>
      <xdr:row>3</xdr:row>
      <xdr:rowOff>404818</xdr:rowOff>
    </xdr:to>
    <xdr:cxnSp macro="">
      <xdr:nvCxnSpPr>
        <xdr:cNvPr id="5667" name="MinuteHandPie2">
          <a:extLst>
            <a:ext uri="{FF2B5EF4-FFF2-40B4-BE49-F238E27FC236}">
              <a16:creationId xmlns:a16="http://schemas.microsoft.com/office/drawing/2014/main" id="{F5B20DC0-7A2A-ADB0-0E1B-3902AF5F38F4}"/>
            </a:ext>
          </a:extLst>
        </xdr:cNvPr>
        <xdr:cNvCxnSpPr/>
      </xdr:nvCxnSpPr>
      <xdr:spPr>
        <a:xfrm flipV="1">
          <a:off x="32521246" y="842837"/>
          <a:ext cx="550804" cy="400181"/>
        </a:xfrm>
        <a:prstGeom prst="line">
          <a:avLst/>
        </a:prstGeom>
        <a:ln w="25400">
          <a:solidFill>
            <a:srgbClr val="00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158158</xdr:colOff>
      <xdr:row>3</xdr:row>
      <xdr:rowOff>404818</xdr:rowOff>
    </xdr:from>
    <xdr:to>
      <xdr:col>124</xdr:col>
      <xdr:colOff>193396</xdr:colOff>
      <xdr:row>4</xdr:row>
      <xdr:rowOff>176230</xdr:rowOff>
    </xdr:to>
    <xdr:cxnSp macro="">
      <xdr:nvCxnSpPr>
        <xdr:cNvPr id="5668" name="HourHandPie3">
          <a:extLst>
            <a:ext uri="{FF2B5EF4-FFF2-40B4-BE49-F238E27FC236}">
              <a16:creationId xmlns:a16="http://schemas.microsoft.com/office/drawing/2014/main" id="{9C1CB08F-AEE3-6028-FE3A-E1D9AA568496}"/>
            </a:ext>
          </a:extLst>
        </xdr:cNvPr>
        <xdr:cNvCxnSpPr/>
      </xdr:nvCxnSpPr>
      <xdr:spPr>
        <a:xfrm flipH="1">
          <a:off x="34019533" y="1243018"/>
          <a:ext cx="416238" cy="180987"/>
        </a:xfrm>
        <a:prstGeom prst="line">
          <a:avLst/>
        </a:prstGeom>
        <a:ln w="38100">
          <a:solidFill>
            <a:srgbClr val="00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124</xdr:col>
      <xdr:colOff>193396</xdr:colOff>
      <xdr:row>3</xdr:row>
      <xdr:rowOff>263266</xdr:rowOff>
    </xdr:from>
    <xdr:to>
      <xdr:col>126</xdr:col>
      <xdr:colOff>97349</xdr:colOff>
      <xdr:row>3</xdr:row>
      <xdr:rowOff>404818</xdr:rowOff>
    </xdr:to>
    <xdr:cxnSp macro="">
      <xdr:nvCxnSpPr>
        <xdr:cNvPr id="5669" name="MinuteHandPie3">
          <a:extLst>
            <a:ext uri="{FF2B5EF4-FFF2-40B4-BE49-F238E27FC236}">
              <a16:creationId xmlns:a16="http://schemas.microsoft.com/office/drawing/2014/main" id="{E2E9CFDA-B0A5-CC0B-F9E7-8E6F97A65719}"/>
            </a:ext>
          </a:extLst>
        </xdr:cNvPr>
        <xdr:cNvCxnSpPr/>
      </xdr:nvCxnSpPr>
      <xdr:spPr>
        <a:xfrm flipV="1">
          <a:off x="34435771" y="1101466"/>
          <a:ext cx="665953" cy="141552"/>
        </a:xfrm>
        <a:prstGeom prst="line">
          <a:avLst/>
        </a:prstGeom>
        <a:ln w="25400">
          <a:solidFill>
            <a:srgbClr val="00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193396</xdr:colOff>
      <xdr:row>11</xdr:row>
      <xdr:rowOff>280993</xdr:rowOff>
    </xdr:from>
    <xdr:to>
      <xdr:col>114</xdr:col>
      <xdr:colOff>244779</xdr:colOff>
      <xdr:row>13</xdr:row>
      <xdr:rowOff>27112</xdr:rowOff>
    </xdr:to>
    <xdr:cxnSp macro="">
      <xdr:nvCxnSpPr>
        <xdr:cNvPr id="5670" name="HourHandPie4">
          <a:extLst>
            <a:ext uri="{FF2B5EF4-FFF2-40B4-BE49-F238E27FC236}">
              <a16:creationId xmlns:a16="http://schemas.microsoft.com/office/drawing/2014/main" id="{56D270BB-09E3-6020-C9BC-A355B337F7DA}"/>
            </a:ext>
          </a:extLst>
        </xdr:cNvPr>
        <xdr:cNvCxnSpPr/>
      </xdr:nvCxnSpPr>
      <xdr:spPr>
        <a:xfrm>
          <a:off x="30625771" y="3824293"/>
          <a:ext cx="51383" cy="450969"/>
        </a:xfrm>
        <a:prstGeom prst="line">
          <a:avLst/>
        </a:prstGeom>
        <a:ln w="38100">
          <a:solidFill>
            <a:srgbClr val="00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289446</xdr:colOff>
      <xdr:row>11</xdr:row>
      <xdr:rowOff>139441</xdr:rowOff>
    </xdr:from>
    <xdr:to>
      <xdr:col>114</xdr:col>
      <xdr:colOff>193396</xdr:colOff>
      <xdr:row>11</xdr:row>
      <xdr:rowOff>280993</xdr:rowOff>
    </xdr:to>
    <xdr:cxnSp macro="">
      <xdr:nvCxnSpPr>
        <xdr:cNvPr id="5671" name="MinuteHandPie4">
          <a:extLst>
            <a:ext uri="{FF2B5EF4-FFF2-40B4-BE49-F238E27FC236}">
              <a16:creationId xmlns:a16="http://schemas.microsoft.com/office/drawing/2014/main" id="{F42D52FD-F4D8-5FFE-7782-35360FF86EBF}"/>
            </a:ext>
          </a:extLst>
        </xdr:cNvPr>
        <xdr:cNvCxnSpPr/>
      </xdr:nvCxnSpPr>
      <xdr:spPr>
        <a:xfrm flipH="1" flipV="1">
          <a:off x="29959821" y="3682741"/>
          <a:ext cx="665950" cy="141552"/>
        </a:xfrm>
        <a:prstGeom prst="line">
          <a:avLst/>
        </a:prstGeom>
        <a:ln w="25400">
          <a:solidFill>
            <a:srgbClr val="00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119</xdr:col>
      <xdr:colOff>24919</xdr:colOff>
      <xdr:row>11</xdr:row>
      <xdr:rowOff>281004</xdr:rowOff>
    </xdr:from>
    <xdr:to>
      <xdr:col>119</xdr:col>
      <xdr:colOff>183871</xdr:colOff>
      <xdr:row>13</xdr:row>
      <xdr:rowOff>1297</xdr:rowOff>
    </xdr:to>
    <xdr:cxnSp macro="">
      <xdr:nvCxnSpPr>
        <xdr:cNvPr id="5672" name="HourHandPie5">
          <a:extLst>
            <a:ext uri="{FF2B5EF4-FFF2-40B4-BE49-F238E27FC236}">
              <a16:creationId xmlns:a16="http://schemas.microsoft.com/office/drawing/2014/main" id="{B0D9F9B0-D722-C53E-C340-40A950C99B3C}"/>
            </a:ext>
          </a:extLst>
        </xdr:cNvPr>
        <xdr:cNvCxnSpPr/>
      </xdr:nvCxnSpPr>
      <xdr:spPr>
        <a:xfrm flipH="1">
          <a:off x="32362294" y="3824304"/>
          <a:ext cx="158952" cy="425143"/>
        </a:xfrm>
        <a:prstGeom prst="line">
          <a:avLst/>
        </a:prstGeom>
        <a:ln w="38100">
          <a:solidFill>
            <a:srgbClr val="00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323903</xdr:colOff>
      <xdr:row>11</xdr:row>
      <xdr:rowOff>281004</xdr:rowOff>
    </xdr:from>
    <xdr:to>
      <xdr:col>119</xdr:col>
      <xdr:colOff>183871</xdr:colOff>
      <xdr:row>12</xdr:row>
      <xdr:rowOff>262647</xdr:rowOff>
    </xdr:to>
    <xdr:cxnSp macro="">
      <xdr:nvCxnSpPr>
        <xdr:cNvPr id="5673" name="MinuteHandPie5">
          <a:extLst>
            <a:ext uri="{FF2B5EF4-FFF2-40B4-BE49-F238E27FC236}">
              <a16:creationId xmlns:a16="http://schemas.microsoft.com/office/drawing/2014/main" id="{955934D9-DB68-016E-0709-A345719C01E4}"/>
            </a:ext>
          </a:extLst>
        </xdr:cNvPr>
        <xdr:cNvCxnSpPr/>
      </xdr:nvCxnSpPr>
      <xdr:spPr>
        <a:xfrm flipH="1">
          <a:off x="31899278" y="3824304"/>
          <a:ext cx="621968" cy="276918"/>
        </a:xfrm>
        <a:prstGeom prst="line">
          <a:avLst/>
        </a:prstGeom>
        <a:ln w="25400">
          <a:solidFill>
            <a:srgbClr val="00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124</xdr:col>
      <xdr:colOff>193396</xdr:colOff>
      <xdr:row>11</xdr:row>
      <xdr:rowOff>89183</xdr:rowOff>
    </xdr:from>
    <xdr:to>
      <xdr:col>125</xdr:col>
      <xdr:colOff>223757</xdr:colOff>
      <xdr:row>11</xdr:row>
      <xdr:rowOff>281004</xdr:rowOff>
    </xdr:to>
    <xdr:cxnSp macro="">
      <xdr:nvCxnSpPr>
        <xdr:cNvPr id="5674" name="HourHandPie6">
          <a:extLst>
            <a:ext uri="{FF2B5EF4-FFF2-40B4-BE49-F238E27FC236}">
              <a16:creationId xmlns:a16="http://schemas.microsoft.com/office/drawing/2014/main" id="{7DFAB14F-5BA9-6965-8134-DAF93995687D}"/>
            </a:ext>
          </a:extLst>
        </xdr:cNvPr>
        <xdr:cNvCxnSpPr/>
      </xdr:nvCxnSpPr>
      <xdr:spPr>
        <a:xfrm flipV="1">
          <a:off x="34435771" y="3632483"/>
          <a:ext cx="411361" cy="191821"/>
        </a:xfrm>
        <a:prstGeom prst="line">
          <a:avLst/>
        </a:prstGeom>
        <a:ln w="38100">
          <a:solidFill>
            <a:srgbClr val="00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124</xdr:col>
      <xdr:colOff>193396</xdr:colOff>
      <xdr:row>10</xdr:row>
      <xdr:rowOff>235864</xdr:rowOff>
    </xdr:from>
    <xdr:to>
      <xdr:col>126</xdr:col>
      <xdr:colOff>21013</xdr:colOff>
      <xdr:row>11</xdr:row>
      <xdr:rowOff>281004</xdr:rowOff>
    </xdr:to>
    <xdr:cxnSp macro="">
      <xdr:nvCxnSpPr>
        <xdr:cNvPr id="5675" name="MinuteHandPie6">
          <a:extLst>
            <a:ext uri="{FF2B5EF4-FFF2-40B4-BE49-F238E27FC236}">
              <a16:creationId xmlns:a16="http://schemas.microsoft.com/office/drawing/2014/main" id="{3AE15FC9-739D-2F7D-E951-E6517F54F52A}"/>
            </a:ext>
          </a:extLst>
        </xdr:cNvPr>
        <xdr:cNvCxnSpPr/>
      </xdr:nvCxnSpPr>
      <xdr:spPr>
        <a:xfrm flipV="1">
          <a:off x="34435771" y="3483889"/>
          <a:ext cx="589617" cy="340415"/>
        </a:xfrm>
        <a:prstGeom prst="line">
          <a:avLst/>
        </a:prstGeom>
        <a:ln w="25400">
          <a:solidFill>
            <a:srgbClr val="00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193396</xdr:colOff>
      <xdr:row>19</xdr:row>
      <xdr:rowOff>165410</xdr:rowOff>
    </xdr:from>
    <xdr:to>
      <xdr:col>115</xdr:col>
      <xdr:colOff>248701</xdr:colOff>
      <xdr:row>19</xdr:row>
      <xdr:rowOff>290518</xdr:rowOff>
    </xdr:to>
    <xdr:cxnSp macro="">
      <xdr:nvCxnSpPr>
        <xdr:cNvPr id="5676" name="HourHandPie7">
          <a:extLst>
            <a:ext uri="{FF2B5EF4-FFF2-40B4-BE49-F238E27FC236}">
              <a16:creationId xmlns:a16="http://schemas.microsoft.com/office/drawing/2014/main" id="{F67E17AE-6D78-FB32-2DCD-CCFDDF26149F}"/>
            </a:ext>
          </a:extLst>
        </xdr:cNvPr>
        <xdr:cNvCxnSpPr/>
      </xdr:nvCxnSpPr>
      <xdr:spPr>
        <a:xfrm flipV="1">
          <a:off x="30625771" y="6413810"/>
          <a:ext cx="436305" cy="125108"/>
        </a:xfrm>
        <a:prstGeom prst="line">
          <a:avLst/>
        </a:prstGeom>
        <a:ln w="38100">
          <a:solidFill>
            <a:srgbClr val="00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193396</xdr:colOff>
      <xdr:row>19</xdr:row>
      <xdr:rowOff>290518</xdr:rowOff>
    </xdr:from>
    <xdr:to>
      <xdr:col>114</xdr:col>
      <xdr:colOff>334950</xdr:colOff>
      <xdr:row>21</xdr:row>
      <xdr:rowOff>365920</xdr:rowOff>
    </xdr:to>
    <xdr:cxnSp macro="">
      <xdr:nvCxnSpPr>
        <xdr:cNvPr id="5677" name="MinuteHandPie7">
          <a:extLst>
            <a:ext uri="{FF2B5EF4-FFF2-40B4-BE49-F238E27FC236}">
              <a16:creationId xmlns:a16="http://schemas.microsoft.com/office/drawing/2014/main" id="{EF893F8D-5C59-3415-E945-B40071195063}"/>
            </a:ext>
          </a:extLst>
        </xdr:cNvPr>
        <xdr:cNvCxnSpPr/>
      </xdr:nvCxnSpPr>
      <xdr:spPr>
        <a:xfrm>
          <a:off x="30625771" y="6538918"/>
          <a:ext cx="141554" cy="665952"/>
        </a:xfrm>
        <a:prstGeom prst="line">
          <a:avLst/>
        </a:prstGeom>
        <a:ln w="25400">
          <a:solidFill>
            <a:srgbClr val="00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118</xdr:col>
      <xdr:colOff>193070</xdr:colOff>
      <xdr:row>19</xdr:row>
      <xdr:rowOff>290529</xdr:rowOff>
    </xdr:from>
    <xdr:to>
      <xdr:col>119</xdr:col>
      <xdr:colOff>183871</xdr:colOff>
      <xdr:row>20</xdr:row>
      <xdr:rowOff>255592</xdr:rowOff>
    </xdr:to>
    <xdr:cxnSp macro="">
      <xdr:nvCxnSpPr>
        <xdr:cNvPr id="5678" name="HourHandPie8">
          <a:extLst>
            <a:ext uri="{FF2B5EF4-FFF2-40B4-BE49-F238E27FC236}">
              <a16:creationId xmlns:a16="http://schemas.microsoft.com/office/drawing/2014/main" id="{31E78522-D83D-4A01-4C51-7F7C9E38EBE1}"/>
            </a:ext>
          </a:extLst>
        </xdr:cNvPr>
        <xdr:cNvCxnSpPr/>
      </xdr:nvCxnSpPr>
      <xdr:spPr>
        <a:xfrm flipH="1">
          <a:off x="32149445" y="6538929"/>
          <a:ext cx="371801" cy="260338"/>
        </a:xfrm>
        <a:prstGeom prst="line">
          <a:avLst/>
        </a:prstGeom>
        <a:ln w="38100">
          <a:solidFill>
            <a:srgbClr val="00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356257</xdr:colOff>
      <xdr:row>18</xdr:row>
      <xdr:rowOff>359689</xdr:rowOff>
    </xdr:from>
    <xdr:to>
      <xdr:col>119</xdr:col>
      <xdr:colOff>183871</xdr:colOff>
      <xdr:row>19</xdr:row>
      <xdr:rowOff>290529</xdr:rowOff>
    </xdr:to>
    <xdr:cxnSp macro="">
      <xdr:nvCxnSpPr>
        <xdr:cNvPr id="5679" name="MinuteHandPie8">
          <a:extLst>
            <a:ext uri="{FF2B5EF4-FFF2-40B4-BE49-F238E27FC236}">
              <a16:creationId xmlns:a16="http://schemas.microsoft.com/office/drawing/2014/main" id="{FF001EB1-7EE4-B33D-0174-731B5AA79AEE}"/>
            </a:ext>
          </a:extLst>
        </xdr:cNvPr>
        <xdr:cNvCxnSpPr/>
      </xdr:nvCxnSpPr>
      <xdr:spPr>
        <a:xfrm flipH="1" flipV="1">
          <a:off x="31931632" y="6198514"/>
          <a:ext cx="589614" cy="340415"/>
        </a:xfrm>
        <a:prstGeom prst="line">
          <a:avLst/>
        </a:prstGeom>
        <a:ln w="25400">
          <a:solidFill>
            <a:srgbClr val="00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250664</xdr:colOff>
      <xdr:row>18</xdr:row>
      <xdr:rowOff>381971</xdr:rowOff>
    </xdr:from>
    <xdr:to>
      <xdr:col>124</xdr:col>
      <xdr:colOff>193396</xdr:colOff>
      <xdr:row>19</xdr:row>
      <xdr:rowOff>290529</xdr:rowOff>
    </xdr:to>
    <xdr:cxnSp macro="">
      <xdr:nvCxnSpPr>
        <xdr:cNvPr id="5680" name="HourHandPie9">
          <a:extLst>
            <a:ext uri="{FF2B5EF4-FFF2-40B4-BE49-F238E27FC236}">
              <a16:creationId xmlns:a16="http://schemas.microsoft.com/office/drawing/2014/main" id="{C1918B41-51B2-6EA1-A91E-A2B938750508}"/>
            </a:ext>
          </a:extLst>
        </xdr:cNvPr>
        <xdr:cNvCxnSpPr/>
      </xdr:nvCxnSpPr>
      <xdr:spPr>
        <a:xfrm flipH="1" flipV="1">
          <a:off x="34112039" y="6220796"/>
          <a:ext cx="323732" cy="318133"/>
        </a:xfrm>
        <a:prstGeom prst="line">
          <a:avLst/>
        </a:prstGeom>
        <a:ln w="38100">
          <a:solidFill>
            <a:srgbClr val="00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124</xdr:col>
      <xdr:colOff>193396</xdr:colOff>
      <xdr:row>19</xdr:row>
      <xdr:rowOff>290529</xdr:rowOff>
    </xdr:from>
    <xdr:to>
      <xdr:col>124</xdr:col>
      <xdr:colOff>264564</xdr:colOff>
      <xdr:row>21</xdr:row>
      <xdr:rowOff>377079</xdr:rowOff>
    </xdr:to>
    <xdr:cxnSp macro="">
      <xdr:nvCxnSpPr>
        <xdr:cNvPr id="5681" name="MinuteHandPie9">
          <a:extLst>
            <a:ext uri="{FF2B5EF4-FFF2-40B4-BE49-F238E27FC236}">
              <a16:creationId xmlns:a16="http://schemas.microsoft.com/office/drawing/2014/main" id="{10D3E543-5168-6EA3-E84C-0FAAAAD67C29}"/>
            </a:ext>
          </a:extLst>
        </xdr:cNvPr>
        <xdr:cNvCxnSpPr/>
      </xdr:nvCxnSpPr>
      <xdr:spPr>
        <a:xfrm>
          <a:off x="34435771" y="6538929"/>
          <a:ext cx="71168" cy="677100"/>
        </a:xfrm>
        <a:prstGeom prst="line">
          <a:avLst/>
        </a:prstGeom>
        <a:ln w="25400">
          <a:solidFill>
            <a:srgbClr val="00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94B86-7BD5-47A1-944B-55965F42F78E}">
  <sheetPr codeName="Sheet1"/>
  <dimension ref="A1:DW52"/>
  <sheetViews>
    <sheetView tabSelected="1" topLeftCell="CC1" workbookViewId="0">
      <selection activeCell="DK30" sqref="DK30"/>
    </sheetView>
  </sheetViews>
  <sheetFormatPr defaultColWidth="5.7109375" defaultRowHeight="19.5" customHeight="1" x14ac:dyDescent="0.25"/>
  <cols>
    <col min="1" max="1" width="6.7109375" style="1" bestFit="1" customWidth="1"/>
    <col min="2" max="2" width="1.28515625" style="1" customWidth="1"/>
    <col min="3" max="3" width="6" style="1" bestFit="1" customWidth="1"/>
    <col min="4" max="4" width="1.28515625" style="1" customWidth="1"/>
    <col min="5" max="5" width="6" style="1" bestFit="1" customWidth="1"/>
    <col min="6" max="6" width="1.28515625" style="1" customWidth="1"/>
    <col min="7" max="7" width="6" style="1" bestFit="1" customWidth="1"/>
    <col min="8" max="8" width="1.28515625" style="1" customWidth="1"/>
    <col min="9" max="9" width="6" style="1" bestFit="1" customWidth="1"/>
    <col min="10" max="10" width="1.28515625" style="1" customWidth="1"/>
    <col min="11" max="11" width="6" style="1" bestFit="1" customWidth="1"/>
    <col min="12" max="12" width="1.28515625" style="1" customWidth="1"/>
    <col min="13" max="13" width="6" style="1" bestFit="1" customWidth="1"/>
    <col min="14" max="14" width="1.28515625" style="1" customWidth="1"/>
    <col min="15" max="15" width="6" style="1" bestFit="1" customWidth="1"/>
    <col min="16" max="16" width="1.28515625" style="1" customWidth="1"/>
    <col min="17" max="17" width="6" style="1" bestFit="1" customWidth="1"/>
    <col min="18" max="18" width="1.28515625" style="1" customWidth="1"/>
    <col min="19" max="19" width="6" style="1" bestFit="1" customWidth="1"/>
    <col min="20" max="20" width="1.28515625" style="1" customWidth="1"/>
    <col min="21" max="21" width="6" style="1" bestFit="1" customWidth="1"/>
    <col min="22" max="22" width="1.28515625" style="1" customWidth="1"/>
    <col min="23" max="23" width="6" style="1" bestFit="1" customWidth="1"/>
    <col min="24" max="24" width="1.28515625" style="1" customWidth="1"/>
    <col min="25" max="25" width="6.7109375" style="1" bestFit="1" customWidth="1"/>
    <col min="26" max="26" width="1.28515625" style="1" customWidth="1"/>
    <col min="27" max="27" width="6" style="1" bestFit="1" customWidth="1"/>
    <col min="28" max="28" width="1.28515625" style="1" customWidth="1"/>
    <col min="29" max="29" width="6" style="1" bestFit="1" customWidth="1"/>
    <col min="30" max="30" width="1.28515625" style="1" customWidth="1"/>
    <col min="31" max="31" width="6" style="1" customWidth="1"/>
    <col min="32" max="32" width="1.28515625" style="1" customWidth="1"/>
    <col min="33" max="33" width="6" style="1" bestFit="1" customWidth="1"/>
    <col min="34" max="34" width="1.28515625" style="1" customWidth="1"/>
    <col min="35" max="35" width="6" style="1" bestFit="1" customWidth="1"/>
    <col min="36" max="36" width="1.28515625" style="1" customWidth="1"/>
    <col min="37" max="37" width="6" style="1" bestFit="1" customWidth="1"/>
    <col min="38" max="38" width="1.28515625" style="1" customWidth="1"/>
    <col min="39" max="39" width="6" style="1" bestFit="1" customWidth="1"/>
    <col min="40" max="40" width="1.28515625" style="1" customWidth="1"/>
    <col min="41" max="41" width="6" style="1" bestFit="1" customWidth="1"/>
    <col min="42" max="42" width="1.28515625" style="1" customWidth="1"/>
    <col min="43" max="43" width="6.7109375" style="1" bestFit="1" customWidth="1"/>
    <col min="44" max="44" width="1.28515625" style="1" customWidth="1"/>
    <col min="45" max="45" width="6" style="1" bestFit="1" customWidth="1"/>
    <col min="46" max="46" width="1.28515625" style="1" customWidth="1"/>
    <col min="47" max="47" width="6" style="1" bestFit="1" customWidth="1"/>
    <col min="48" max="48" width="1.28515625" style="1" customWidth="1"/>
    <col min="49" max="49" width="6.7109375" style="1" customWidth="1"/>
    <col min="50" max="50" width="1.28515625" style="1" customWidth="1"/>
    <col min="51" max="51" width="6.7109375" style="1" customWidth="1"/>
    <col min="52" max="52" width="1.28515625" style="1" customWidth="1"/>
    <col min="53" max="53" width="6.7109375" style="1" customWidth="1"/>
    <col min="54" max="54" width="1.28515625" style="1" customWidth="1"/>
    <col min="55" max="55" width="6" style="1" bestFit="1" customWidth="1"/>
    <col min="56" max="56" width="1.28515625" style="1" customWidth="1"/>
    <col min="57" max="57" width="6" style="1" bestFit="1" customWidth="1"/>
    <col min="58" max="58" width="1.28515625" style="1" customWidth="1"/>
    <col min="59" max="59" width="6" style="1" bestFit="1" customWidth="1"/>
    <col min="60" max="60" width="1.28515625" style="1" customWidth="1"/>
    <col min="61" max="61" width="6" style="1" bestFit="1" customWidth="1"/>
    <col min="62" max="62" width="1.28515625" style="1" customWidth="1"/>
    <col min="63" max="63" width="6" style="1" bestFit="1" customWidth="1"/>
    <col min="64" max="64" width="1.28515625" style="1" customWidth="1"/>
    <col min="65" max="65" width="6" style="1" bestFit="1" customWidth="1"/>
    <col min="66" max="66" width="1.28515625" style="1" customWidth="1"/>
    <col min="67" max="67" width="6" style="1" bestFit="1" customWidth="1"/>
    <col min="68" max="68" width="1.28515625" style="1" customWidth="1"/>
    <col min="69" max="69" width="6" style="1" bestFit="1" customWidth="1"/>
    <col min="70" max="70" width="1.28515625" style="1" customWidth="1"/>
    <col min="71" max="71" width="6" style="1" bestFit="1" customWidth="1"/>
    <col min="72" max="72" width="1.28515625" style="1" customWidth="1"/>
    <col min="73" max="73" width="6.7109375" style="1" customWidth="1"/>
    <col min="74" max="74" width="1.28515625" style="1" customWidth="1"/>
    <col min="75" max="75" width="6.7109375" style="1" customWidth="1"/>
    <col min="76" max="76" width="1.28515625" style="1" customWidth="1"/>
    <col min="77" max="77" width="6.7109375" style="1" customWidth="1"/>
    <col min="78" max="78" width="1.28515625" style="1" customWidth="1"/>
    <col min="79" max="79" width="6" style="1" bestFit="1" customWidth="1"/>
    <col min="80" max="80" width="1.28515625" style="1" customWidth="1"/>
    <col min="81" max="81" width="6" style="1" bestFit="1" customWidth="1"/>
    <col min="82" max="82" width="1.28515625" style="1" customWidth="1"/>
    <col min="83" max="83" width="6" style="1" bestFit="1" customWidth="1"/>
    <col min="84" max="84" width="1.28515625" style="1" customWidth="1"/>
    <col min="85" max="85" width="6" style="1" bestFit="1" customWidth="1"/>
    <col min="86" max="86" width="1.28515625" style="1" customWidth="1"/>
    <col min="87" max="87" width="6" style="1" bestFit="1" customWidth="1"/>
    <col min="88" max="88" width="1.28515625" style="1" customWidth="1"/>
    <col min="89" max="89" width="6" style="1" bestFit="1" customWidth="1"/>
    <col min="90" max="90" width="1.28515625" style="1" customWidth="1"/>
    <col min="91" max="91" width="6" style="1" bestFit="1" customWidth="1"/>
    <col min="92" max="92" width="1.28515625" style="1" customWidth="1"/>
    <col min="93" max="93" width="6" style="1" bestFit="1" customWidth="1"/>
    <col min="94" max="94" width="1.28515625" style="1" customWidth="1"/>
    <col min="95" max="95" width="6" style="1" bestFit="1" customWidth="1"/>
    <col min="96" max="96" width="1.28515625" style="1" customWidth="1"/>
    <col min="97" max="103" width="5.7109375" style="1"/>
    <col min="104" max="104" width="4.42578125" style="1" customWidth="1"/>
    <col min="105" max="111" width="5.7109375" style="1"/>
    <col min="112" max="112" width="4.42578125" style="1" customWidth="1"/>
    <col min="113" max="16384" width="5.7109375" style="1"/>
  </cols>
  <sheetData>
    <row r="1" spans="1:127" ht="19.5" customHeight="1" x14ac:dyDescent="0.35">
      <c r="A1" s="10" t="s">
        <v>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 t="s">
        <v>1</v>
      </c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 t="s">
        <v>8</v>
      </c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 t="s">
        <v>9</v>
      </c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4" t="s">
        <v>2</v>
      </c>
      <c r="CT1" s="14"/>
      <c r="CU1" s="14"/>
      <c r="CV1" s="14"/>
      <c r="CW1" s="14"/>
      <c r="CX1" s="14"/>
      <c r="CY1" s="14"/>
      <c r="CZ1" s="14"/>
      <c r="DA1" s="14"/>
      <c r="DB1" s="14"/>
      <c r="DC1" s="14"/>
      <c r="DD1" s="14"/>
      <c r="DE1" s="14"/>
      <c r="DF1" s="14"/>
      <c r="DG1" s="14"/>
      <c r="DH1" s="14"/>
      <c r="DI1" s="14" t="s">
        <v>10</v>
      </c>
      <c r="DJ1" s="14"/>
      <c r="DK1" s="14"/>
      <c r="DL1" s="14"/>
      <c r="DM1" s="14"/>
      <c r="DN1" s="14"/>
      <c r="DO1" s="14"/>
      <c r="DP1" s="14"/>
      <c r="DQ1" s="14"/>
      <c r="DR1" s="14"/>
      <c r="DS1" s="14"/>
      <c r="DT1" s="14"/>
      <c r="DU1" s="14"/>
      <c r="DV1" s="14"/>
      <c r="DW1" s="14"/>
    </row>
    <row r="2" spans="1:127" ht="23.25" customHeight="1" thickBot="1" x14ac:dyDescent="0.3">
      <c r="A2" s="3">
        <f ca="1">RANDBETWEEN(1,9)</f>
        <v>8</v>
      </c>
      <c r="C2" s="3">
        <f ca="1">RANDBETWEEN(1,9)</f>
        <v>1</v>
      </c>
      <c r="E2" s="3">
        <f ca="1">RANDBETWEEN(1,9)</f>
        <v>4</v>
      </c>
      <c r="G2" s="3">
        <f ca="1">RANDBETWEEN(1,9)</f>
        <v>5</v>
      </c>
      <c r="I2" s="3">
        <f ca="1">RANDBETWEEN(1,9)</f>
        <v>5</v>
      </c>
      <c r="K2" s="3">
        <f ca="1">RANDBETWEEN(1,9)</f>
        <v>1</v>
      </c>
      <c r="M2" s="3">
        <f ca="1">RANDBETWEEN(1,9)</f>
        <v>7</v>
      </c>
      <c r="O2" s="3">
        <f ca="1">RANDBETWEEN(1,9)</f>
        <v>9</v>
      </c>
      <c r="Q2" s="3">
        <f ca="1">RANDBETWEEN(1,9)</f>
        <v>4</v>
      </c>
      <c r="S2" s="3">
        <f ca="1">RANDBETWEEN(1,9)</f>
        <v>7</v>
      </c>
      <c r="U2" s="3">
        <f ca="1">RANDBETWEEN(1,9)</f>
        <v>1</v>
      </c>
      <c r="W2" s="3">
        <f ca="1">RANDBETWEEN(1,9)</f>
        <v>4</v>
      </c>
      <c r="Y2" s="3">
        <f ca="1">IF(A30+RIGHT(SUBSTITUTE(A29," ",""),1)=0,RIGHT(SUBSTITUTE(A29," ",""),1),A30)</f>
        <v>8</v>
      </c>
      <c r="AA2" s="3">
        <f ca="1">IF(C30+RIGHT(SUBSTITUTE(C29," ",""),1)=0,RIGHT(SUBSTITUTE(C29," ",""),1),C30)</f>
        <v>4</v>
      </c>
      <c r="AC2" s="3">
        <f ca="1">IF(E30+RIGHT(SUBSTITUTE(E29," ",""),1)=0,RIGHT(SUBSTITUTE(E29," ",""),1),E30)</f>
        <v>16</v>
      </c>
      <c r="AE2" s="3">
        <f ca="1">IF(G30+RIGHT(SUBSTITUTE(G29," ",""),1)=0,RIGHT(SUBSTITUTE(G29," ",""),1),G30)</f>
        <v>25</v>
      </c>
      <c r="AG2" s="3">
        <f ca="1">IF(I30+RIGHT(SUBSTITUTE(I29," ",""),1)=0,RIGHT(SUBSTITUTE(I29," ",""),1),I30)</f>
        <v>10</v>
      </c>
      <c r="AI2" s="3">
        <f ca="1">IF(K30+RIGHT(SUBSTITUTE(K29," ",""),1)=0,RIGHT(SUBSTITUTE(K29," ",""),1),K30)</f>
        <v>8</v>
      </c>
      <c r="AK2" s="3">
        <f ca="1">IF(M30+RIGHT(SUBSTITUTE(M29," ",""),1)=0,RIGHT(SUBSTITUTE(M29," ",""),1),M30)</f>
        <v>49</v>
      </c>
      <c r="AM2" s="3">
        <f ca="1">IF(O30+RIGHT(SUBSTITUTE(O29," ",""),1)=0,RIGHT(SUBSTITUTE(O29," ",""),1),O30)</f>
        <v>81</v>
      </c>
      <c r="AO2" s="3">
        <f ca="1">IF(Q30+RIGHT(SUBSTITUTE(Q29," ",""),1)=0,RIGHT(SUBSTITUTE(Q29," ",""),1),Q30)</f>
        <v>4</v>
      </c>
      <c r="AQ2" s="3">
        <f ca="1">IF(S30+RIGHT(SUBSTITUTE(S29," ",""),1)=0,RIGHT(SUBSTITUTE(S29," ",""),1),S30)</f>
        <v>63</v>
      </c>
      <c r="AS2" s="3">
        <f ca="1">IF(U30+RIGHT(SUBSTITUTE(U29," ",""),1)=0,RIGHT(SUBSTITUTE(U29," ",""),1),U30)</f>
        <v>8</v>
      </c>
      <c r="AU2" s="3">
        <f ca="1">IF(W30+RIGHT(SUBSTITUTE(W29," ",""),1)=0,RIGHT(SUBSTITUTE(W29," ",""),1),W30)</f>
        <v>12</v>
      </c>
      <c r="AW2" s="3">
        <f ca="1">RANDBETWEEN(5,30)</f>
        <v>5</v>
      </c>
      <c r="AY2" s="3">
        <f ca="1">RANDBETWEEN(5,30)</f>
        <v>14</v>
      </c>
      <c r="BA2" s="3">
        <f ca="1">RANDBETWEEN(5,30)</f>
        <v>11</v>
      </c>
      <c r="BC2" s="3">
        <f ca="1">RANDBETWEEN(5,30)</f>
        <v>28</v>
      </c>
      <c r="BE2" s="3">
        <f ca="1">RANDBETWEEN(5,30)</f>
        <v>30</v>
      </c>
      <c r="BG2" s="3">
        <f ca="1">RANDBETWEEN(5,30)</f>
        <v>10</v>
      </c>
      <c r="BI2" s="3">
        <f ca="1">RANDBETWEEN(5,30)</f>
        <v>23</v>
      </c>
      <c r="BK2" s="3">
        <f ca="1">RANDBETWEEN(5,30)</f>
        <v>12</v>
      </c>
      <c r="BM2" s="3">
        <f ca="1">RANDBETWEEN(5,30)</f>
        <v>11</v>
      </c>
      <c r="BO2" s="3">
        <f ca="1">RANDBETWEEN(5,30)</f>
        <v>28</v>
      </c>
      <c r="BQ2" s="3">
        <f ca="1">RANDBETWEEN(5,30)</f>
        <v>14</v>
      </c>
      <c r="BS2" s="3">
        <f ca="1">RANDBETWEEN(5,30)</f>
        <v>9</v>
      </c>
      <c r="BU2" s="3">
        <f ca="1">RANDBETWEEN(5,30)</f>
        <v>5</v>
      </c>
      <c r="BW2" s="3">
        <f ca="1">RANDBETWEEN(5,30)</f>
        <v>19</v>
      </c>
      <c r="BY2" s="3">
        <f ca="1">RANDBETWEEN(5,30)</f>
        <v>20</v>
      </c>
      <c r="CA2" s="3">
        <f ca="1">RANDBETWEEN(5,30)</f>
        <v>19</v>
      </c>
      <c r="CC2" s="3">
        <f ca="1">RANDBETWEEN(5,30)</f>
        <v>10</v>
      </c>
      <c r="CE2" s="3">
        <f ca="1">RANDBETWEEN(5,30)</f>
        <v>20</v>
      </c>
      <c r="CG2" s="3">
        <f ca="1">RANDBETWEEN(5,30)</f>
        <v>19</v>
      </c>
      <c r="CI2" s="3">
        <f ca="1">RANDBETWEEN(5,30)</f>
        <v>25</v>
      </c>
      <c r="CK2" s="3">
        <f ca="1">RANDBETWEEN(5,30)</f>
        <v>11</v>
      </c>
      <c r="CM2" s="3">
        <f ca="1">RANDBETWEEN(5,30)</f>
        <v>10</v>
      </c>
      <c r="CO2" s="3">
        <f ca="1">RANDBETWEEN(5,30)</f>
        <v>16</v>
      </c>
      <c r="CQ2" s="3">
        <f ca="1">RANDBETWEEN(5,30)</f>
        <v>7</v>
      </c>
      <c r="CS2" s="9" t="s">
        <v>4</v>
      </c>
      <c r="CT2" s="9"/>
      <c r="CU2" s="11">
        <f ca="1">MROUND(RAND(),1/24)</f>
        <v>1</v>
      </c>
      <c r="CV2" s="11"/>
      <c r="CW2" s="9" t="s">
        <v>3</v>
      </c>
      <c r="CX2" s="9"/>
      <c r="CY2" s="11">
        <f ca="1">MROUND(CU2+RAND()*(1-CU2),1/24)+TIME(1,0,0)</f>
        <v>1.0416666666666667</v>
      </c>
      <c r="CZ2" s="11"/>
      <c r="DA2" s="12" t="s">
        <v>5</v>
      </c>
      <c r="DB2" s="12"/>
      <c r="DC2" s="12"/>
      <c r="DD2" s="7" t="s">
        <v>6</v>
      </c>
      <c r="DE2" s="7"/>
      <c r="DF2" s="8" t="s">
        <v>7</v>
      </c>
      <c r="DG2" s="7"/>
      <c r="DH2" s="7"/>
      <c r="DI2" s="17"/>
      <c r="DJ2" s="17"/>
      <c r="DK2" s="17"/>
      <c r="DL2" s="17"/>
      <c r="DM2" s="18"/>
      <c r="DN2" s="20"/>
      <c r="DO2" s="17"/>
      <c r="DP2" s="17"/>
      <c r="DQ2" s="17"/>
      <c r="DR2" s="18"/>
    </row>
    <row r="3" spans="1:127" ht="23.25" customHeight="1" thickBot="1" x14ac:dyDescent="0.3">
      <c r="A3" s="4" t="str">
        <f ca="1">"x  " &amp; RANDBETWEEN(0,9) &amp; "    "</f>
        <v xml:space="preserve">x  1    </v>
      </c>
      <c r="C3" s="4" t="str">
        <f ca="1">"x  " &amp; RANDBETWEEN(0,9) &amp; "    "</f>
        <v xml:space="preserve">x  4    </v>
      </c>
      <c r="E3" s="4" t="str">
        <f ca="1">"x  " &amp; RANDBETWEEN(0,9) &amp; "    "</f>
        <v xml:space="preserve">x  4    </v>
      </c>
      <c r="G3" s="4" t="str">
        <f ca="1">"x  " &amp; RANDBETWEEN(0,9) &amp; "    "</f>
        <v xml:space="preserve">x  5    </v>
      </c>
      <c r="I3" s="4" t="str">
        <f ca="1">"x  " &amp; RANDBETWEEN(0,9) &amp; "    "</f>
        <v xml:space="preserve">x  2    </v>
      </c>
      <c r="K3" s="4" t="str">
        <f ca="1">"x  " &amp; RANDBETWEEN(0,9) &amp; "    "</f>
        <v xml:space="preserve">x  8    </v>
      </c>
      <c r="M3" s="4" t="str">
        <f ca="1">"x  " &amp; RANDBETWEEN(0,9) &amp; "    "</f>
        <v xml:space="preserve">x  7    </v>
      </c>
      <c r="O3" s="4" t="str">
        <f ca="1">"x  " &amp; RANDBETWEEN(0,9) &amp; "    "</f>
        <v xml:space="preserve">x  9    </v>
      </c>
      <c r="Q3" s="4" t="str">
        <f ca="1">"x  " &amp; RANDBETWEEN(0,9) &amp; "    "</f>
        <v xml:space="preserve">x  1    </v>
      </c>
      <c r="S3" s="4" t="str">
        <f ca="1">"x  " &amp; RANDBETWEEN(0,9) &amp; "    "</f>
        <v xml:space="preserve">x  9    </v>
      </c>
      <c r="U3" s="4" t="str">
        <f ca="1">"x  " &amp; RANDBETWEEN(0,9) &amp; "    "</f>
        <v xml:space="preserve">x  8    </v>
      </c>
      <c r="W3" s="4" t="str">
        <f ca="1">"x  " &amp; RANDBETWEEN(0,9) &amp; "    "</f>
        <v xml:space="preserve">x  3    </v>
      </c>
      <c r="Y3" s="4" t="str">
        <f ca="1">"÷  " &amp; IF(A30+RIGHT(SUBSTITUTE(A29," ",""),1)=0,A28,IF(RANDBETWEEN(1,2)=1,RIGHT(SUBSTITUTE(A29," ",""),1),A28)) &amp; "    "</f>
        <v xml:space="preserve">÷  1    </v>
      </c>
      <c r="AA3" s="4" t="str">
        <f ca="1">"÷  " &amp; IF(C30+RIGHT(SUBSTITUTE(C29," ",""),1)=0,C28,IF(RANDBETWEEN(1,2)=1,RIGHT(SUBSTITUTE(C29," ",""),1),C28)) &amp; "    "</f>
        <v xml:space="preserve">÷  4    </v>
      </c>
      <c r="AC3" s="4" t="str">
        <f ca="1">"÷  " &amp; IF(E30+RIGHT(SUBSTITUTE(E29," ",""),1)=0,E28,IF(RANDBETWEEN(1,2)=1,RIGHT(SUBSTITUTE(E29," ",""),1),E28)) &amp; "    "</f>
        <v xml:space="preserve">÷  4    </v>
      </c>
      <c r="AE3" s="4" t="str">
        <f ca="1">"÷  " &amp; IF(G30+RIGHT(SUBSTITUTE(G29," ",""),1)=0,G28,IF(RANDBETWEEN(1,2)=1,RIGHT(SUBSTITUTE(G29," ",""),1),G28)) &amp; "    "</f>
        <v xml:space="preserve">÷  5    </v>
      </c>
      <c r="AG3" s="4" t="str">
        <f ca="1">"÷  " &amp; IF(I30+RIGHT(SUBSTITUTE(I29," ",""),1)=0,I28,IF(RANDBETWEEN(1,2)=1,RIGHT(SUBSTITUTE(I29," ",""),1),I28)) &amp; "    "</f>
        <v xml:space="preserve">÷  2    </v>
      </c>
      <c r="AI3" s="4" t="str">
        <f ca="1">"÷  " &amp; IF(K30+RIGHT(SUBSTITUTE(K29," ",""),1)=0,K28,IF(RANDBETWEEN(1,2)=1,RIGHT(SUBSTITUTE(K29," ",""),1),K28)) &amp; "    "</f>
        <v xml:space="preserve">÷  8    </v>
      </c>
      <c r="AK3" s="4" t="str">
        <f ca="1">"÷  " &amp; IF(M30+RIGHT(SUBSTITUTE(M29," ",""),1)=0,M28,IF(RANDBETWEEN(1,2)=1,RIGHT(SUBSTITUTE(M29," ",""),1),M28)) &amp; "    "</f>
        <v xml:space="preserve">÷  7    </v>
      </c>
      <c r="AM3" s="4" t="str">
        <f ca="1">"÷  " &amp; IF(O30+RIGHT(SUBSTITUTE(O29," ",""),1)=0,O28,IF(RANDBETWEEN(1,2)=1,RIGHT(SUBSTITUTE(O29," ",""),1),O28)) &amp; "    "</f>
        <v xml:space="preserve">÷  9    </v>
      </c>
      <c r="AO3" s="4" t="str">
        <f ca="1">"÷  " &amp; IF(Q30+RIGHT(SUBSTITUTE(Q29," ",""),1)=0,Q28,IF(RANDBETWEEN(1,2)=1,RIGHT(SUBSTITUTE(Q29," ",""),1),Q28)) &amp; "    "</f>
        <v xml:space="preserve">÷  1    </v>
      </c>
      <c r="AQ3" s="4" t="str">
        <f ca="1">"÷  " &amp; IF(S30+RIGHT(SUBSTITUTE(S29," ",""),1)=0,S28,IF(RANDBETWEEN(1,2)=1,RIGHT(SUBSTITUTE(S29," ",""),1),S28)) &amp; "    "</f>
        <v xml:space="preserve">÷  7    </v>
      </c>
      <c r="AS3" s="4" t="str">
        <f ca="1">"÷  " &amp; IF(U30+RIGHT(SUBSTITUTE(U29," ",""),1)=0,U28,IF(RANDBETWEEN(1,2)=1,RIGHT(SUBSTITUTE(U29," ",""),1),U28)) &amp; "    "</f>
        <v xml:space="preserve">÷  1    </v>
      </c>
      <c r="AU3" s="4" t="str">
        <f ca="1">"÷  " &amp; IF(W30+RIGHT(SUBSTITUTE(W29," ",""),1)=0,W28,IF(RANDBETWEEN(1,2)=1,RIGHT(SUBSTITUTE(W29," ",""),1),W28)) &amp; "    "</f>
        <v xml:space="preserve">÷  3    </v>
      </c>
      <c r="AW3" s="4" t="str">
        <f ca="1">"-  " &amp; RANDBETWEEN(1,MAX(1,AW2-1)) &amp; "    "</f>
        <v xml:space="preserve">-  4    </v>
      </c>
      <c r="AY3" s="4" t="str">
        <f ca="1">"-  " &amp; RANDBETWEEN(1,MAX(1,AY2-1)) &amp; "    "</f>
        <v xml:space="preserve">-  1    </v>
      </c>
      <c r="BA3" s="4" t="str">
        <f ca="1">"-  " &amp; RANDBETWEEN(1,MAX(1,BA2-1)) &amp; "    "</f>
        <v xml:space="preserve">-  8    </v>
      </c>
      <c r="BC3" s="4" t="str">
        <f ca="1">"-  " &amp; RANDBETWEEN(1,MAX(1,BC2-1)) &amp; "    "</f>
        <v xml:space="preserve">-  18    </v>
      </c>
      <c r="BE3" s="4" t="str">
        <f ca="1">"-  " &amp; RANDBETWEEN(1,MAX(1,BE2-1)) &amp; "    "</f>
        <v xml:space="preserve">-  4    </v>
      </c>
      <c r="BG3" s="4" t="str">
        <f ca="1">"-  " &amp; RANDBETWEEN(1,MAX(1,BG2-1)) &amp; "    "</f>
        <v xml:space="preserve">-  3    </v>
      </c>
      <c r="BI3" s="4" t="str">
        <f ca="1">"-  " &amp; RANDBETWEEN(1,MAX(1,BI2-1)) &amp; "    "</f>
        <v xml:space="preserve">-  18    </v>
      </c>
      <c r="BK3" s="4" t="str">
        <f ca="1">"-  " &amp; RANDBETWEEN(1,MAX(1,BK2-1)) &amp; "    "</f>
        <v xml:space="preserve">-  2    </v>
      </c>
      <c r="BM3" s="4" t="str">
        <f ca="1">"-  " &amp; RANDBETWEEN(1,MAX(1,BM2-1)) &amp; "    "</f>
        <v xml:space="preserve">-  2    </v>
      </c>
      <c r="BO3" s="4" t="str">
        <f ca="1">"-  " &amp; RANDBETWEEN(1,MAX(1,BO2-1)) &amp; "    "</f>
        <v xml:space="preserve">-  7    </v>
      </c>
      <c r="BQ3" s="4" t="str">
        <f ca="1">"-  " &amp; RANDBETWEEN(1,MAX(1,BQ2-1)) &amp; "    "</f>
        <v xml:space="preserve">-  3    </v>
      </c>
      <c r="BS3" s="4" t="str">
        <f ca="1">"-  " &amp; RANDBETWEEN(1,MAX(1,BS2-1)) &amp; "    "</f>
        <v xml:space="preserve">-  5    </v>
      </c>
      <c r="BU3" s="4" t="str">
        <f ca="1">"+  " &amp; RANDBETWEEN(1,MAX(1,BU2-1)) &amp; "    "</f>
        <v xml:space="preserve">+  1    </v>
      </c>
      <c r="BW3" s="4" t="str">
        <f ca="1">"+  " &amp; RANDBETWEEN(1,MAX(1,BW2-1)) &amp; "    "</f>
        <v xml:space="preserve">+  5    </v>
      </c>
      <c r="BY3" s="4" t="str">
        <f ca="1">"+  " &amp; RANDBETWEEN(1,MAX(1,BY2-1)) &amp; "    "</f>
        <v xml:space="preserve">+  18    </v>
      </c>
      <c r="CA3" s="4" t="str">
        <f ca="1">"+  " &amp; RANDBETWEEN(1,MAX(1,CA2-1)) &amp; "    "</f>
        <v xml:space="preserve">+  11    </v>
      </c>
      <c r="CC3" s="4" t="str">
        <f ca="1">"+  " &amp; RANDBETWEEN(1,MAX(1,CC2-1)) &amp; "    "</f>
        <v xml:space="preserve">+  4    </v>
      </c>
      <c r="CE3" s="4" t="str">
        <f ca="1">"+  " &amp; RANDBETWEEN(1,MAX(1,CE2-1)) &amp; "    "</f>
        <v xml:space="preserve">+  10    </v>
      </c>
      <c r="CG3" s="4" t="str">
        <f ca="1">"+  " &amp; RANDBETWEEN(1,MAX(1,CG2-1)) &amp; "    "</f>
        <v xml:space="preserve">+  12    </v>
      </c>
      <c r="CI3" s="4" t="str">
        <f ca="1">"+  " &amp; RANDBETWEEN(1,MAX(1,CI2-1)) &amp; "    "</f>
        <v xml:space="preserve">+  2    </v>
      </c>
      <c r="CK3" s="4" t="str">
        <f ca="1">"+  " &amp; RANDBETWEEN(1,MAX(1,CK2-1)) &amp; "    "</f>
        <v xml:space="preserve">+  8    </v>
      </c>
      <c r="CM3" s="4" t="str">
        <f ca="1">"+  " &amp; RANDBETWEEN(1,MAX(1,CM2-1)) &amp; "    "</f>
        <v xml:space="preserve">+  2    </v>
      </c>
      <c r="CO3" s="4" t="str">
        <f ca="1">"+  " &amp; RANDBETWEEN(1,MAX(1,CO2-1)) &amp; "    "</f>
        <v xml:space="preserve">+  5    </v>
      </c>
      <c r="CQ3" s="4" t="str">
        <f ca="1">"+  " &amp; RANDBETWEEN(1,MAX(1,CQ2-1)) &amp; "    "</f>
        <v xml:space="preserve">+  5    </v>
      </c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17"/>
      <c r="DJ3" s="17"/>
      <c r="DK3" s="17"/>
      <c r="DL3" s="17"/>
      <c r="DM3" s="18"/>
      <c r="DN3" s="20"/>
      <c r="DO3" s="17"/>
      <c r="DP3" s="17"/>
      <c r="DQ3" s="17"/>
      <c r="DR3" s="18"/>
    </row>
    <row r="4" spans="1:127" ht="32.25" customHeight="1" x14ac:dyDescent="0.25"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17"/>
      <c r="DJ4" s="17"/>
      <c r="DK4" s="17"/>
      <c r="DL4" s="17"/>
      <c r="DM4" s="18"/>
      <c r="DN4" s="20"/>
      <c r="DO4" s="17"/>
      <c r="DP4" s="17"/>
      <c r="DQ4" s="17"/>
      <c r="DR4" s="18"/>
    </row>
    <row r="5" spans="1:127" ht="23.25" customHeight="1" thickBot="1" x14ac:dyDescent="0.3">
      <c r="A5" s="3">
        <f ca="1">RANDBETWEEN(1,9)</f>
        <v>6</v>
      </c>
      <c r="C5" s="3">
        <f ca="1">RANDBETWEEN(1,9)</f>
        <v>2</v>
      </c>
      <c r="E5" s="3">
        <f ca="1">RANDBETWEEN(1,9)</f>
        <v>4</v>
      </c>
      <c r="G5" s="3">
        <f ca="1">RANDBETWEEN(1,9)</f>
        <v>9</v>
      </c>
      <c r="I5" s="3">
        <f ca="1">RANDBETWEEN(1,9)</f>
        <v>1</v>
      </c>
      <c r="K5" s="3">
        <f ca="1">RANDBETWEEN(1,9)</f>
        <v>4</v>
      </c>
      <c r="M5" s="3">
        <f ca="1">RANDBETWEEN(1,9)</f>
        <v>6</v>
      </c>
      <c r="O5" s="3">
        <f ca="1">RANDBETWEEN(1,9)</f>
        <v>6</v>
      </c>
      <c r="Q5" s="3">
        <f ca="1">RANDBETWEEN(1,9)</f>
        <v>7</v>
      </c>
      <c r="S5" s="3">
        <f ca="1">RANDBETWEEN(1,9)</f>
        <v>7</v>
      </c>
      <c r="U5" s="3">
        <f ca="1">RANDBETWEEN(1,9)</f>
        <v>8</v>
      </c>
      <c r="W5" s="3">
        <f ca="1">RANDBETWEEN(1,9)</f>
        <v>3</v>
      </c>
      <c r="Y5" s="3" t="str">
        <f ca="1">IF(A33+RIGHT(SUBSTITUTE(A32," ",""),1)=0,RIGHT(SUBSTITUTE(A32," ",""),1),A33)</f>
        <v>0</v>
      </c>
      <c r="AA5" s="3">
        <f ca="1">IF(C33+RIGHT(SUBSTITUTE(C32," ",""),1)=0,RIGHT(SUBSTITUTE(C32," ",""),1),C33)</f>
        <v>4</v>
      </c>
      <c r="AC5" s="3">
        <f ca="1">IF(E33+RIGHT(SUBSTITUTE(E32," ",""),1)=0,RIGHT(SUBSTITUTE(E32," ",""),1),E33)</f>
        <v>16</v>
      </c>
      <c r="AE5" s="3">
        <f ca="1">IF(G33+RIGHT(SUBSTITUTE(G32," ",""),1)=0,RIGHT(SUBSTITUTE(G32," ",""),1),G33)</f>
        <v>63</v>
      </c>
      <c r="AG5" s="3">
        <f ca="1">IF(I33+RIGHT(SUBSTITUTE(I32," ",""),1)=0,RIGHT(SUBSTITUTE(I32," ",""),1),I33)</f>
        <v>2</v>
      </c>
      <c r="AI5" s="3">
        <f ca="1">IF(K33+RIGHT(SUBSTITUTE(K32," ",""),1)=0,RIGHT(SUBSTITUTE(K32," ",""),1),K33)</f>
        <v>32</v>
      </c>
      <c r="AK5" s="3" t="str">
        <f ca="1">IF(M33+RIGHT(SUBSTITUTE(M32," ",""),1)=0,RIGHT(SUBSTITUTE(M32," ",""),1),M33)</f>
        <v>0</v>
      </c>
      <c r="AM5" s="3">
        <f ca="1">IF(O33+RIGHT(SUBSTITUTE(O32," ",""),1)=0,RIGHT(SUBSTITUTE(O32," ",""),1),O33)</f>
        <v>24</v>
      </c>
      <c r="AO5" s="3">
        <f ca="1">IF(Q33+RIGHT(SUBSTITUTE(Q32," ",""),1)=0,RIGHT(SUBSTITUTE(Q32," ",""),1),Q33)</f>
        <v>63</v>
      </c>
      <c r="AQ5" s="3">
        <f ca="1">IF(S33+RIGHT(SUBSTITUTE(S32," ",""),1)=0,RIGHT(SUBSTITUTE(S32," ",""),1),S33)</f>
        <v>42</v>
      </c>
      <c r="AS5" s="3">
        <f ca="1">IF(U33+RIGHT(SUBSTITUTE(U32," ",""),1)=0,RIGHT(SUBSTITUTE(U32," ",""),1),U33)</f>
        <v>64</v>
      </c>
      <c r="AU5" s="3">
        <f ca="1">IF(W33+RIGHT(SUBSTITUTE(W32," ",""),1)=0,RIGHT(SUBSTITUTE(W32," ",""),1),W33)</f>
        <v>18</v>
      </c>
      <c r="AW5" s="3">
        <f ca="1">RANDBETWEEN(5,30)</f>
        <v>14</v>
      </c>
      <c r="AY5" s="3">
        <f ca="1">RANDBETWEEN(5,30)</f>
        <v>18</v>
      </c>
      <c r="BA5" s="3">
        <f ca="1">RANDBETWEEN(5,30)</f>
        <v>15</v>
      </c>
      <c r="BC5" s="3">
        <f ca="1">RANDBETWEEN(5,30)</f>
        <v>18</v>
      </c>
      <c r="BE5" s="3">
        <f ca="1">RANDBETWEEN(5,30)</f>
        <v>30</v>
      </c>
      <c r="BG5" s="3">
        <f ca="1">RANDBETWEEN(5,30)</f>
        <v>10</v>
      </c>
      <c r="BI5" s="3">
        <f ca="1">RANDBETWEEN(5,30)</f>
        <v>21</v>
      </c>
      <c r="BK5" s="3">
        <f ca="1">RANDBETWEEN(5,30)</f>
        <v>23</v>
      </c>
      <c r="BM5" s="3">
        <f ca="1">RANDBETWEEN(5,30)</f>
        <v>29</v>
      </c>
      <c r="BO5" s="3">
        <f ca="1">RANDBETWEEN(5,30)</f>
        <v>16</v>
      </c>
      <c r="BQ5" s="3">
        <f ca="1">RANDBETWEEN(5,30)</f>
        <v>22</v>
      </c>
      <c r="BS5" s="3">
        <f ca="1">RANDBETWEEN(5,30)</f>
        <v>6</v>
      </c>
      <c r="BU5" s="3">
        <f ca="1">RANDBETWEEN(5,30)</f>
        <v>20</v>
      </c>
      <c r="BW5" s="3">
        <f ca="1">RANDBETWEEN(5,30)</f>
        <v>10</v>
      </c>
      <c r="BY5" s="3">
        <f ca="1">RANDBETWEEN(5,30)</f>
        <v>10</v>
      </c>
      <c r="CA5" s="3">
        <f ca="1">RANDBETWEEN(5,30)</f>
        <v>9</v>
      </c>
      <c r="CC5" s="3">
        <f ca="1">RANDBETWEEN(5,30)</f>
        <v>5</v>
      </c>
      <c r="CE5" s="3">
        <f ca="1">RANDBETWEEN(5,30)</f>
        <v>28</v>
      </c>
      <c r="CG5" s="3">
        <f ca="1">RANDBETWEEN(5,30)</f>
        <v>12</v>
      </c>
      <c r="CI5" s="3">
        <f ca="1">RANDBETWEEN(5,30)</f>
        <v>5</v>
      </c>
      <c r="CK5" s="3">
        <f ca="1">RANDBETWEEN(5,30)</f>
        <v>5</v>
      </c>
      <c r="CM5" s="3">
        <f ca="1">RANDBETWEEN(5,30)</f>
        <v>30</v>
      </c>
      <c r="CO5" s="3">
        <f ca="1">RANDBETWEEN(5,30)</f>
        <v>5</v>
      </c>
      <c r="CQ5" s="3">
        <f ca="1">RANDBETWEEN(5,30)</f>
        <v>21</v>
      </c>
      <c r="CS5" s="9" t="s">
        <v>4</v>
      </c>
      <c r="CT5" s="9"/>
      <c r="CU5" s="11">
        <f ca="1">MROUND(RAND(),1/48)</f>
        <v>0.22916666666666666</v>
      </c>
      <c r="CV5" s="11"/>
      <c r="CW5" s="9" t="s">
        <v>3</v>
      </c>
      <c r="CX5" s="9"/>
      <c r="CY5" s="11">
        <f ca="1">MROUND(CU5+RAND()*(1-CU5),1/48)+TIME(1,0,0)</f>
        <v>0.47916666666666669</v>
      </c>
      <c r="CZ5" s="11"/>
      <c r="DA5" s="12" t="s">
        <v>5</v>
      </c>
      <c r="DB5" s="12"/>
      <c r="DC5" s="12"/>
      <c r="DD5" s="7" t="s">
        <v>6</v>
      </c>
      <c r="DE5" s="7"/>
      <c r="DF5" s="8" t="s">
        <v>7</v>
      </c>
      <c r="DG5" s="7"/>
      <c r="DH5" s="7"/>
      <c r="DI5" s="17"/>
      <c r="DJ5" s="17"/>
      <c r="DK5" s="17"/>
      <c r="DL5" s="17"/>
      <c r="DM5" s="18"/>
      <c r="DN5" s="20"/>
      <c r="DO5" s="17"/>
      <c r="DP5" s="17"/>
      <c r="DQ5" s="17"/>
      <c r="DR5" s="18"/>
    </row>
    <row r="6" spans="1:127" ht="23.25" customHeight="1" thickBot="1" x14ac:dyDescent="0.3">
      <c r="A6" s="4" t="str">
        <f ca="1">"x  " &amp; RANDBETWEEN(0,9) &amp; "    "</f>
        <v xml:space="preserve">x  0    </v>
      </c>
      <c r="C6" s="4" t="str">
        <f ca="1">"x  " &amp; RANDBETWEEN(0,9) &amp; "    "</f>
        <v xml:space="preserve">x  2    </v>
      </c>
      <c r="E6" s="4" t="str">
        <f ca="1">"x  " &amp; RANDBETWEEN(0,9) &amp; "    "</f>
        <v xml:space="preserve">x  4    </v>
      </c>
      <c r="G6" s="4" t="str">
        <f ca="1">"x  " &amp; RANDBETWEEN(0,9) &amp; "    "</f>
        <v xml:space="preserve">x  7    </v>
      </c>
      <c r="I6" s="4" t="str">
        <f ca="1">"x  " &amp; RANDBETWEEN(0,9) &amp; "    "</f>
        <v xml:space="preserve">x  2    </v>
      </c>
      <c r="K6" s="4" t="str">
        <f ca="1">"x  " &amp; RANDBETWEEN(0,9) &amp; "    "</f>
        <v xml:space="preserve">x  8    </v>
      </c>
      <c r="M6" s="4" t="str">
        <f ca="1">"x  " &amp; RANDBETWEEN(0,9) &amp; "    "</f>
        <v xml:space="preserve">x  0    </v>
      </c>
      <c r="O6" s="4" t="str">
        <f ca="1">"x  " &amp; RANDBETWEEN(0,9) &amp; "    "</f>
        <v xml:space="preserve">x  4    </v>
      </c>
      <c r="Q6" s="4" t="str">
        <f ca="1">"x  " &amp; RANDBETWEEN(0,9) &amp; "    "</f>
        <v xml:space="preserve">x  9    </v>
      </c>
      <c r="S6" s="4" t="str">
        <f ca="1">"x  " &amp; RANDBETWEEN(0,9) &amp; "    "</f>
        <v xml:space="preserve">x  6    </v>
      </c>
      <c r="U6" s="4" t="str">
        <f ca="1">"x  " &amp; RANDBETWEEN(0,9) &amp; "    "</f>
        <v xml:space="preserve">x  8    </v>
      </c>
      <c r="W6" s="4" t="str">
        <f ca="1">"x  " &amp; RANDBETWEEN(0,9) &amp; "    "</f>
        <v xml:space="preserve">x  6    </v>
      </c>
      <c r="Y6" s="4" t="str">
        <f ca="1">"÷  " &amp; IF(A33+RIGHT(SUBSTITUTE(A32," ",""),1)=0,A31,IF(RANDBETWEEN(1,2)=1,RIGHT(SUBSTITUTE(A32," ",""),1),A31)) &amp; "    "</f>
        <v xml:space="preserve">÷  6    </v>
      </c>
      <c r="AA6" s="4" t="str">
        <f ca="1">"÷  " &amp; IF(C33+RIGHT(SUBSTITUTE(C32," ",""),1)=0,C31,IF(RANDBETWEEN(1,2)=1,RIGHT(SUBSTITUTE(C32," ",""),1),C31)) &amp; "    "</f>
        <v xml:space="preserve">÷  2    </v>
      </c>
      <c r="AC6" s="4" t="str">
        <f ca="1">"÷  " &amp; IF(E33+RIGHT(SUBSTITUTE(E32," ",""),1)=0,E31,IF(RANDBETWEEN(1,2)=1,RIGHT(SUBSTITUTE(E32," ",""),1),E31)) &amp; "    "</f>
        <v xml:space="preserve">÷  4    </v>
      </c>
      <c r="AE6" s="4" t="str">
        <f ca="1">"÷  " &amp; IF(G33+RIGHT(SUBSTITUTE(G32," ",""),1)=0,G31,IF(RANDBETWEEN(1,2)=1,RIGHT(SUBSTITUTE(G32," ",""),1),G31)) &amp; "    "</f>
        <v xml:space="preserve">÷  7    </v>
      </c>
      <c r="AG6" s="4" t="str">
        <f ca="1">"÷  " &amp; IF(I33+RIGHT(SUBSTITUTE(I32," ",""),1)=0,I31,IF(RANDBETWEEN(1,2)=1,RIGHT(SUBSTITUTE(I32," ",""),1),I31)) &amp; "    "</f>
        <v xml:space="preserve">÷  2    </v>
      </c>
      <c r="AI6" s="4" t="str">
        <f ca="1">"÷  " &amp; IF(K33+RIGHT(SUBSTITUTE(K32," ",""),1)=0,K31,IF(RANDBETWEEN(1,2)=1,RIGHT(SUBSTITUTE(K32," ",""),1),K31)) &amp; "    "</f>
        <v xml:space="preserve">÷  4    </v>
      </c>
      <c r="AK6" s="4" t="str">
        <f ca="1">"÷  " &amp; IF(M33+RIGHT(SUBSTITUTE(M32," ",""),1)=0,M31,IF(RANDBETWEEN(1,2)=1,RIGHT(SUBSTITUTE(M32," ",""),1),M31)) &amp; "    "</f>
        <v xml:space="preserve">÷  6    </v>
      </c>
      <c r="AM6" s="4" t="str">
        <f ca="1">"÷  " &amp; IF(O33+RIGHT(SUBSTITUTE(O32," ",""),1)=0,O31,IF(RANDBETWEEN(1,2)=1,RIGHT(SUBSTITUTE(O32," ",""),1),O31)) &amp; "    "</f>
        <v xml:space="preserve">÷  6    </v>
      </c>
      <c r="AO6" s="4" t="str">
        <f ca="1">"÷  " &amp; IF(Q33+RIGHT(SUBSTITUTE(Q32," ",""),1)=0,Q31,IF(RANDBETWEEN(1,2)=1,RIGHT(SUBSTITUTE(Q32," ",""),1),Q31)) &amp; "    "</f>
        <v xml:space="preserve">÷  7    </v>
      </c>
      <c r="AQ6" s="4" t="str">
        <f ca="1">"÷  " &amp; IF(S33+RIGHT(SUBSTITUTE(S32," ",""),1)=0,S31,IF(RANDBETWEEN(1,2)=1,RIGHT(SUBSTITUTE(S32," ",""),1),S31)) &amp; "    "</f>
        <v xml:space="preserve">÷  7    </v>
      </c>
      <c r="AS6" s="4" t="str">
        <f ca="1">"÷  " &amp; IF(U33+RIGHT(SUBSTITUTE(U32," ",""),1)=0,U31,IF(RANDBETWEEN(1,2)=1,RIGHT(SUBSTITUTE(U32," ",""),1),U31)) &amp; "    "</f>
        <v xml:space="preserve">÷  8    </v>
      </c>
      <c r="AU6" s="4" t="str">
        <f ca="1">"÷  " &amp; IF(W33+RIGHT(SUBSTITUTE(W32," ",""),1)=0,W31,IF(RANDBETWEEN(1,2)=1,RIGHT(SUBSTITUTE(W32," ",""),1),W31)) &amp; "    "</f>
        <v xml:space="preserve">÷  3    </v>
      </c>
      <c r="AW6" s="4" t="str">
        <f ca="1">"-  " &amp; RANDBETWEEN(1,MAX(1,AW5-1)) &amp; "    "</f>
        <v xml:space="preserve">-  9    </v>
      </c>
      <c r="AY6" s="4" t="str">
        <f ca="1">"-  " &amp; RANDBETWEEN(1,MAX(1,AY5-1)) &amp; "    "</f>
        <v xml:space="preserve">-  4    </v>
      </c>
      <c r="BA6" s="4" t="str">
        <f ca="1">"-  " &amp; RANDBETWEEN(1,MAX(1,BA5-1)) &amp; "    "</f>
        <v xml:space="preserve">-  1    </v>
      </c>
      <c r="BC6" s="4" t="str">
        <f ca="1">"-  " &amp; RANDBETWEEN(1,MAX(1,BC5-1)) &amp; "    "</f>
        <v xml:space="preserve">-  15    </v>
      </c>
      <c r="BE6" s="4" t="str">
        <f ca="1">"-  " &amp; RANDBETWEEN(1,MAX(1,BE5-1)) &amp; "    "</f>
        <v xml:space="preserve">-  2    </v>
      </c>
      <c r="BG6" s="4" t="str">
        <f ca="1">"-  " &amp; RANDBETWEEN(1,MAX(1,BG5-1)) &amp; "    "</f>
        <v xml:space="preserve">-  9    </v>
      </c>
      <c r="BI6" s="4" t="str">
        <f ca="1">"-  " &amp; RANDBETWEEN(1,MAX(1,BI5-1)) &amp; "    "</f>
        <v xml:space="preserve">-  12    </v>
      </c>
      <c r="BK6" s="4" t="str">
        <f ca="1">"-  " &amp; RANDBETWEEN(1,MAX(1,BK5-1)) &amp; "    "</f>
        <v xml:space="preserve">-  4    </v>
      </c>
      <c r="BM6" s="4" t="str">
        <f ca="1">"-  " &amp; RANDBETWEEN(1,MAX(1,BM5-1)) &amp; "    "</f>
        <v xml:space="preserve">-  13    </v>
      </c>
      <c r="BO6" s="4" t="str">
        <f ca="1">"-  " &amp; RANDBETWEEN(1,MAX(1,BO5-1)) &amp; "    "</f>
        <v xml:space="preserve">-  1    </v>
      </c>
      <c r="BQ6" s="4" t="str">
        <f ca="1">"-  " &amp; RANDBETWEEN(1,MAX(1,BQ5-1)) &amp; "    "</f>
        <v xml:space="preserve">-  3    </v>
      </c>
      <c r="BS6" s="4" t="str">
        <f ca="1">"-  " &amp; RANDBETWEEN(1,MAX(1,BS5-1)) &amp; "    "</f>
        <v xml:space="preserve">-  4    </v>
      </c>
      <c r="BU6" s="4" t="str">
        <f ca="1">"+  " &amp; RANDBETWEEN(1,MAX(1,BU5-1)) &amp; "    "</f>
        <v xml:space="preserve">+  4    </v>
      </c>
      <c r="BW6" s="4" t="str">
        <f ca="1">"+  " &amp; RANDBETWEEN(1,MAX(1,BW5-1)) &amp; "    "</f>
        <v xml:space="preserve">+  1    </v>
      </c>
      <c r="BY6" s="4" t="str">
        <f ca="1">"+  " &amp; RANDBETWEEN(1,MAX(1,BY5-1)) &amp; "    "</f>
        <v xml:space="preserve">+  3    </v>
      </c>
      <c r="CA6" s="4" t="str">
        <f ca="1">"+  " &amp; RANDBETWEEN(1,MAX(1,CA5-1)) &amp; "    "</f>
        <v xml:space="preserve">+  8    </v>
      </c>
      <c r="CC6" s="4" t="str">
        <f ca="1">"+  " &amp; RANDBETWEEN(1,MAX(1,CC5-1)) &amp; "    "</f>
        <v xml:space="preserve">+  3    </v>
      </c>
      <c r="CE6" s="4" t="str">
        <f ca="1">"+  " &amp; RANDBETWEEN(1,MAX(1,CE5-1)) &amp; "    "</f>
        <v xml:space="preserve">+  8    </v>
      </c>
      <c r="CG6" s="4" t="str">
        <f ca="1">"+  " &amp; RANDBETWEEN(1,MAX(1,CG5-1)) &amp; "    "</f>
        <v xml:space="preserve">+  10    </v>
      </c>
      <c r="CI6" s="4" t="str">
        <f ca="1">"+  " &amp; RANDBETWEEN(1,MAX(1,CI5-1)) &amp; "    "</f>
        <v xml:space="preserve">+  2    </v>
      </c>
      <c r="CK6" s="4" t="str">
        <f ca="1">"+  " &amp; RANDBETWEEN(1,MAX(1,CK5-1)) &amp; "    "</f>
        <v xml:space="preserve">+  2    </v>
      </c>
      <c r="CM6" s="4" t="str">
        <f ca="1">"+  " &amp; RANDBETWEEN(1,MAX(1,CM5-1)) &amp; "    "</f>
        <v xml:space="preserve">+  15    </v>
      </c>
      <c r="CO6" s="4" t="str">
        <f ca="1">"+  " &amp; RANDBETWEEN(1,MAX(1,CO5-1)) &amp; "    "</f>
        <v xml:space="preserve">+  4    </v>
      </c>
      <c r="CQ6" s="4" t="str">
        <f ca="1">"+  " &amp; RANDBETWEEN(1,MAX(1,CQ5-1)) &amp; "    "</f>
        <v xml:space="preserve">+  3    </v>
      </c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17"/>
      <c r="DJ6" s="17"/>
      <c r="DK6" s="17"/>
      <c r="DL6" s="17"/>
      <c r="DM6" s="18"/>
      <c r="DN6" s="20"/>
      <c r="DO6" s="17"/>
      <c r="DP6" s="17"/>
      <c r="DQ6" s="17"/>
      <c r="DR6" s="18"/>
    </row>
    <row r="7" spans="1:127" ht="32.25" customHeight="1" x14ac:dyDescent="0.25"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17"/>
      <c r="DJ7" s="17"/>
      <c r="DK7" s="17"/>
      <c r="DL7" s="17"/>
      <c r="DM7" s="18"/>
      <c r="DN7" s="20"/>
      <c r="DO7" s="17"/>
      <c r="DP7" s="17"/>
      <c r="DQ7" s="17"/>
      <c r="DR7" s="18"/>
    </row>
    <row r="8" spans="1:127" ht="23.25" customHeight="1" thickBot="1" x14ac:dyDescent="0.3">
      <c r="A8" s="3">
        <f ca="1">RANDBETWEEN(1,9)</f>
        <v>9</v>
      </c>
      <c r="C8" s="3">
        <f ca="1">RANDBETWEEN(1,9)</f>
        <v>9</v>
      </c>
      <c r="E8" s="3">
        <f ca="1">RANDBETWEEN(1,9)</f>
        <v>2</v>
      </c>
      <c r="G8" s="3">
        <f ca="1">RANDBETWEEN(1,9)</f>
        <v>8</v>
      </c>
      <c r="I8" s="3">
        <f ca="1">RANDBETWEEN(1,9)</f>
        <v>4</v>
      </c>
      <c r="K8" s="3">
        <f ca="1">RANDBETWEEN(1,9)</f>
        <v>5</v>
      </c>
      <c r="M8" s="3">
        <f ca="1">RANDBETWEEN(1,9)</f>
        <v>8</v>
      </c>
      <c r="O8" s="3">
        <f ca="1">RANDBETWEEN(1,9)</f>
        <v>1</v>
      </c>
      <c r="Q8" s="3">
        <f ca="1">RANDBETWEEN(1,9)</f>
        <v>4</v>
      </c>
      <c r="S8" s="3">
        <f ca="1">RANDBETWEEN(1,9)</f>
        <v>1</v>
      </c>
      <c r="U8" s="3">
        <f ca="1">RANDBETWEEN(1,9)</f>
        <v>4</v>
      </c>
      <c r="W8" s="3">
        <f ca="1">RANDBETWEEN(1,9)</f>
        <v>9</v>
      </c>
      <c r="Y8" s="3">
        <f ca="1">IF(A36+RIGHT(SUBSTITUTE(A35," ",""),1)=0,RIGHT(SUBSTITUTE(A35," ",""),1),A36)</f>
        <v>18</v>
      </c>
      <c r="AA8" s="3">
        <f ca="1">IF(C36+RIGHT(SUBSTITUTE(C35," ",""),1)=0,RIGHT(SUBSTITUTE(C35," ",""),1),C36)</f>
        <v>81</v>
      </c>
      <c r="AC8" s="3">
        <f ca="1">IF(E36+RIGHT(SUBSTITUTE(E35," ",""),1)=0,RIGHT(SUBSTITUTE(E35," ",""),1),E36)</f>
        <v>6</v>
      </c>
      <c r="AE8" s="3">
        <f ca="1">IF(G36+RIGHT(SUBSTITUTE(G35," ",""),1)=0,RIGHT(SUBSTITUTE(G35," ",""),1),G36)</f>
        <v>64</v>
      </c>
      <c r="AG8" s="3">
        <f ca="1">IF(I36+RIGHT(SUBSTITUTE(I35," ",""),1)=0,RIGHT(SUBSTITUTE(I35," ",""),1),I36)</f>
        <v>12</v>
      </c>
      <c r="AI8" s="3">
        <f ca="1">IF(K36+RIGHT(SUBSTITUTE(K35," ",""),1)=0,RIGHT(SUBSTITUTE(K35," ",""),1),K36)</f>
        <v>20</v>
      </c>
      <c r="AK8" s="3">
        <f ca="1">IF(M36+RIGHT(SUBSTITUTE(M35," ",""),1)=0,RIGHT(SUBSTITUTE(M35," ",""),1),M36)</f>
        <v>24</v>
      </c>
      <c r="AM8" s="3">
        <f ca="1">IF(O36+RIGHT(SUBSTITUTE(O35," ",""),1)=0,RIGHT(SUBSTITUTE(O35," ",""),1),O36)</f>
        <v>5</v>
      </c>
      <c r="AO8" s="3">
        <f ca="1">IF(Q36+RIGHT(SUBSTITUTE(Q35," ",""),1)=0,RIGHT(SUBSTITUTE(Q35," ",""),1),Q36)</f>
        <v>4</v>
      </c>
      <c r="AQ8" s="3">
        <f ca="1">IF(S36+RIGHT(SUBSTITUTE(S35," ",""),1)=0,RIGHT(SUBSTITUTE(S35," ",""),1),S36)</f>
        <v>7</v>
      </c>
      <c r="AS8" s="3">
        <f ca="1">IF(U36+RIGHT(SUBSTITUTE(U35," ",""),1)=0,RIGHT(SUBSTITUTE(U35," ",""),1),U36)</f>
        <v>24</v>
      </c>
      <c r="AU8" s="3">
        <f ca="1">IF(W36+RIGHT(SUBSTITUTE(W35," ",""),1)=0,RIGHT(SUBSTITUTE(W35," ",""),1),W36)</f>
        <v>18</v>
      </c>
      <c r="AW8" s="3">
        <f ca="1">RANDBETWEEN(5,30)</f>
        <v>21</v>
      </c>
      <c r="AY8" s="3">
        <f ca="1">RANDBETWEEN(5,30)</f>
        <v>17</v>
      </c>
      <c r="BA8" s="3">
        <f ca="1">RANDBETWEEN(5,30)</f>
        <v>13</v>
      </c>
      <c r="BC8" s="3">
        <f ca="1">RANDBETWEEN(5,30)</f>
        <v>14</v>
      </c>
      <c r="BE8" s="3">
        <f ca="1">RANDBETWEEN(5,30)</f>
        <v>14</v>
      </c>
      <c r="BG8" s="3">
        <f ca="1">RANDBETWEEN(5,30)</f>
        <v>29</v>
      </c>
      <c r="BI8" s="3">
        <f ca="1">RANDBETWEEN(5,30)</f>
        <v>30</v>
      </c>
      <c r="BK8" s="3">
        <f ca="1">RANDBETWEEN(5,30)</f>
        <v>6</v>
      </c>
      <c r="BM8" s="3">
        <f ca="1">RANDBETWEEN(5,30)</f>
        <v>19</v>
      </c>
      <c r="BO8" s="3">
        <f ca="1">RANDBETWEEN(5,30)</f>
        <v>5</v>
      </c>
      <c r="BQ8" s="3">
        <f ca="1">RANDBETWEEN(5,30)</f>
        <v>16</v>
      </c>
      <c r="BS8" s="3">
        <f ca="1">RANDBETWEEN(5,30)</f>
        <v>21</v>
      </c>
      <c r="BU8" s="3">
        <f ca="1">RANDBETWEEN(5,30)</f>
        <v>21</v>
      </c>
      <c r="BW8" s="3">
        <f ca="1">RANDBETWEEN(5,30)</f>
        <v>17</v>
      </c>
      <c r="BY8" s="3">
        <f ca="1">RANDBETWEEN(5,30)</f>
        <v>14</v>
      </c>
      <c r="CA8" s="3">
        <f ca="1">RANDBETWEEN(5,30)</f>
        <v>7</v>
      </c>
      <c r="CC8" s="3">
        <f ca="1">RANDBETWEEN(5,30)</f>
        <v>27</v>
      </c>
      <c r="CE8" s="3">
        <f ca="1">RANDBETWEEN(5,30)</f>
        <v>6</v>
      </c>
      <c r="CG8" s="3">
        <f ca="1">RANDBETWEEN(5,30)</f>
        <v>12</v>
      </c>
      <c r="CI8" s="3">
        <f ca="1">RANDBETWEEN(5,30)</f>
        <v>12</v>
      </c>
      <c r="CK8" s="3">
        <f ca="1">RANDBETWEEN(5,30)</f>
        <v>15</v>
      </c>
      <c r="CM8" s="3">
        <f ca="1">RANDBETWEEN(5,30)</f>
        <v>20</v>
      </c>
      <c r="CO8" s="3">
        <f ca="1">RANDBETWEEN(5,30)</f>
        <v>14</v>
      </c>
      <c r="CQ8" s="3">
        <f ca="1">RANDBETWEEN(5,30)</f>
        <v>17</v>
      </c>
      <c r="CS8" s="9" t="s">
        <v>4</v>
      </c>
      <c r="CT8" s="9"/>
      <c r="CU8" s="11">
        <f ca="1">MROUND(RAND(),1/96)</f>
        <v>0.96875</v>
      </c>
      <c r="CV8" s="11"/>
      <c r="CW8" s="9" t="s">
        <v>3</v>
      </c>
      <c r="CX8" s="9"/>
      <c r="CY8" s="11">
        <f ca="1">MROUND(CU8+RAND()*(1-CU8),1/48)+TIME(0,30,0)</f>
        <v>1</v>
      </c>
      <c r="CZ8" s="11"/>
      <c r="DA8" s="12" t="s">
        <v>5</v>
      </c>
      <c r="DB8" s="12"/>
      <c r="DC8" s="12"/>
      <c r="DD8" s="7" t="s">
        <v>6</v>
      </c>
      <c r="DE8" s="7"/>
      <c r="DF8" s="8" t="s">
        <v>7</v>
      </c>
      <c r="DG8" s="7"/>
      <c r="DH8" s="7"/>
      <c r="DI8" s="16" t="s">
        <v>11</v>
      </c>
      <c r="DJ8" s="16"/>
      <c r="DK8" s="16"/>
      <c r="DL8" s="16"/>
      <c r="DM8" s="19"/>
      <c r="DN8" s="21" t="s">
        <v>11</v>
      </c>
      <c r="DO8" s="16"/>
      <c r="DP8" s="16"/>
      <c r="DQ8" s="16"/>
      <c r="DR8" s="19"/>
      <c r="DS8" s="16" t="s">
        <v>11</v>
      </c>
      <c r="DT8" s="16"/>
      <c r="DU8" s="16"/>
      <c r="DV8" s="16"/>
      <c r="DW8" s="16"/>
    </row>
    <row r="9" spans="1:127" ht="23.25" customHeight="1" thickBot="1" x14ac:dyDescent="0.3">
      <c r="A9" s="4" t="str">
        <f ca="1">"x  " &amp; RANDBETWEEN(0,9) &amp; "    "</f>
        <v xml:space="preserve">x  2    </v>
      </c>
      <c r="C9" s="4" t="str">
        <f ca="1">"x  " &amp; RANDBETWEEN(0,9) &amp; "    "</f>
        <v xml:space="preserve">x  9    </v>
      </c>
      <c r="E9" s="4" t="str">
        <f ca="1">"x  " &amp; RANDBETWEEN(0,9) &amp; "    "</f>
        <v xml:space="preserve">x  3    </v>
      </c>
      <c r="G9" s="4" t="str">
        <f ca="1">"x  " &amp; RANDBETWEEN(0,9) &amp; "    "</f>
        <v xml:space="preserve">x  8    </v>
      </c>
      <c r="I9" s="4" t="str">
        <f ca="1">"x  " &amp; RANDBETWEEN(0,9) &amp; "    "</f>
        <v xml:space="preserve">x  3    </v>
      </c>
      <c r="K9" s="4" t="str">
        <f ca="1">"x  " &amp; RANDBETWEEN(0,9) &amp; "    "</f>
        <v xml:space="preserve">x  4    </v>
      </c>
      <c r="M9" s="4" t="str">
        <f ca="1">"x  " &amp; RANDBETWEEN(0,9) &amp; "    "</f>
        <v xml:space="preserve">x  3    </v>
      </c>
      <c r="O9" s="4" t="str">
        <f ca="1">"x  " &amp; RANDBETWEEN(0,9) &amp; "    "</f>
        <v xml:space="preserve">x  5    </v>
      </c>
      <c r="Q9" s="4" t="str">
        <f ca="1">"x  " &amp; RANDBETWEEN(0,9) &amp; "    "</f>
        <v xml:space="preserve">x  1    </v>
      </c>
      <c r="S9" s="4" t="str">
        <f ca="1">"x  " &amp; RANDBETWEEN(0,9) &amp; "    "</f>
        <v xml:space="preserve">x  7    </v>
      </c>
      <c r="U9" s="4" t="str">
        <f ca="1">"x  " &amp; RANDBETWEEN(0,9) &amp; "    "</f>
        <v xml:space="preserve">x  6    </v>
      </c>
      <c r="W9" s="4" t="str">
        <f ca="1">"x  " &amp; RANDBETWEEN(0,9) &amp; "    "</f>
        <v xml:space="preserve">x  2    </v>
      </c>
      <c r="Y9" s="4" t="str">
        <f ca="1">"÷  " &amp; IF(A36+RIGHT(SUBSTITUTE(A35," ",""),1)=0,A34,IF(RANDBETWEEN(1,2)=1,RIGHT(SUBSTITUTE(A35," ",""),1),A34)) &amp; "    "</f>
        <v xml:space="preserve">÷  2    </v>
      </c>
      <c r="AA9" s="4" t="str">
        <f ca="1">"÷  " &amp; IF(C36+RIGHT(SUBSTITUTE(C35," ",""),1)=0,C34,IF(RANDBETWEEN(1,2)=1,RIGHT(SUBSTITUTE(C35," ",""),1),C34)) &amp; "    "</f>
        <v xml:space="preserve">÷  9    </v>
      </c>
      <c r="AC9" s="4" t="str">
        <f ca="1">"÷  " &amp; IF(E36+RIGHT(SUBSTITUTE(E35," ",""),1)=0,E34,IF(RANDBETWEEN(1,2)=1,RIGHT(SUBSTITUTE(E35," ",""),1),E34)) &amp; "    "</f>
        <v xml:space="preserve">÷  3    </v>
      </c>
      <c r="AE9" s="4" t="str">
        <f ca="1">"÷  " &amp; IF(G36+RIGHT(SUBSTITUTE(G35," ",""),1)=0,G34,IF(RANDBETWEEN(1,2)=1,RIGHT(SUBSTITUTE(G35," ",""),1),G34)) &amp; "    "</f>
        <v xml:space="preserve">÷  8    </v>
      </c>
      <c r="AG9" s="4" t="str">
        <f ca="1">"÷  " &amp; IF(I36+RIGHT(SUBSTITUTE(I35," ",""),1)=0,I34,IF(RANDBETWEEN(1,2)=1,RIGHT(SUBSTITUTE(I35," ",""),1),I34)) &amp; "    "</f>
        <v xml:space="preserve">÷  3    </v>
      </c>
      <c r="AI9" s="4" t="str">
        <f ca="1">"÷  " &amp; IF(K36+RIGHT(SUBSTITUTE(K35," ",""),1)=0,K34,IF(RANDBETWEEN(1,2)=1,RIGHT(SUBSTITUTE(K35," ",""),1),K34)) &amp; "    "</f>
        <v xml:space="preserve">÷  4    </v>
      </c>
      <c r="AK9" s="4" t="str">
        <f ca="1">"÷  " &amp; IF(M36+RIGHT(SUBSTITUTE(M35," ",""),1)=0,M34,IF(RANDBETWEEN(1,2)=1,RIGHT(SUBSTITUTE(M35," ",""),1),M34)) &amp; "    "</f>
        <v xml:space="preserve">÷  3    </v>
      </c>
      <c r="AM9" s="4" t="str">
        <f ca="1">"÷  " &amp; IF(O36+RIGHT(SUBSTITUTE(O35," ",""),1)=0,O34,IF(RANDBETWEEN(1,2)=1,RIGHT(SUBSTITUTE(O35," ",""),1),O34)) &amp; "    "</f>
        <v xml:space="preserve">÷  1    </v>
      </c>
      <c r="AO9" s="4" t="str">
        <f ca="1">"÷  " &amp; IF(Q36+RIGHT(SUBSTITUTE(Q35," ",""),1)=0,Q34,IF(RANDBETWEEN(1,2)=1,RIGHT(SUBSTITUTE(Q35," ",""),1),Q34)) &amp; "    "</f>
        <v xml:space="preserve">÷  1    </v>
      </c>
      <c r="AQ9" s="4" t="str">
        <f ca="1">"÷  " &amp; IF(S36+RIGHT(SUBSTITUTE(S35," ",""),1)=0,S34,IF(RANDBETWEEN(1,2)=1,RIGHT(SUBSTITUTE(S35," ",""),1),S34)) &amp; "    "</f>
        <v xml:space="preserve">÷  7    </v>
      </c>
      <c r="AS9" s="4" t="str">
        <f ca="1">"÷  " &amp; IF(U36+RIGHT(SUBSTITUTE(U35," ",""),1)=0,U34,IF(RANDBETWEEN(1,2)=1,RIGHT(SUBSTITUTE(U35," ",""),1),U34)) &amp; "    "</f>
        <v xml:space="preserve">÷  4    </v>
      </c>
      <c r="AU9" s="4" t="str">
        <f ca="1">"÷  " &amp; IF(W36+RIGHT(SUBSTITUTE(W35," ",""),1)=0,W34,IF(RANDBETWEEN(1,2)=1,RIGHT(SUBSTITUTE(W35," ",""),1),W34)) &amp; "    "</f>
        <v xml:space="preserve">÷  9    </v>
      </c>
      <c r="AW9" s="4" t="str">
        <f ca="1">"-  " &amp; RANDBETWEEN(1,MAX(1,AW8-1)) &amp; "    "</f>
        <v xml:space="preserve">-  13    </v>
      </c>
      <c r="AY9" s="4" t="str">
        <f ca="1">"-  " &amp; RANDBETWEEN(1,MAX(1,AY8-1)) &amp; "    "</f>
        <v xml:space="preserve">-  12    </v>
      </c>
      <c r="BA9" s="4" t="str">
        <f ca="1">"-  " &amp; RANDBETWEEN(1,MAX(1,BA8-1)) &amp; "    "</f>
        <v xml:space="preserve">-  11    </v>
      </c>
      <c r="BC9" s="4" t="str">
        <f ca="1">"-  " &amp; RANDBETWEEN(1,MAX(1,BC8-1)) &amp; "    "</f>
        <v xml:space="preserve">-  4    </v>
      </c>
      <c r="BE9" s="4" t="str">
        <f ca="1">"-  " &amp; RANDBETWEEN(1,MAX(1,BE8-1)) &amp; "    "</f>
        <v xml:space="preserve">-  4    </v>
      </c>
      <c r="BG9" s="4" t="str">
        <f ca="1">"-  " &amp; RANDBETWEEN(1,MAX(1,BG8-1)) &amp; "    "</f>
        <v xml:space="preserve">-  14    </v>
      </c>
      <c r="BI9" s="4" t="str">
        <f ca="1">"-  " &amp; RANDBETWEEN(1,MAX(1,BI8-1)) &amp; "    "</f>
        <v xml:space="preserve">-  8    </v>
      </c>
      <c r="BK9" s="4" t="str">
        <f ca="1">"-  " &amp; RANDBETWEEN(1,MAX(1,BK8-1)) &amp; "    "</f>
        <v xml:space="preserve">-  2    </v>
      </c>
      <c r="BM9" s="4" t="str">
        <f ca="1">"-  " &amp; RANDBETWEEN(1,MAX(1,BM8-1)) &amp; "    "</f>
        <v xml:space="preserve">-  17    </v>
      </c>
      <c r="BO9" s="4" t="str">
        <f ca="1">"-  " &amp; RANDBETWEEN(1,MAX(1,BO8-1)) &amp; "    "</f>
        <v xml:space="preserve">-  3    </v>
      </c>
      <c r="BQ9" s="4" t="str">
        <f ca="1">"-  " &amp; RANDBETWEEN(1,MAX(1,BQ8-1)) &amp; "    "</f>
        <v xml:space="preserve">-  7    </v>
      </c>
      <c r="BS9" s="4" t="str">
        <f ca="1">"-  " &amp; RANDBETWEEN(1,MAX(1,BS8-1)) &amp; "    "</f>
        <v xml:space="preserve">-  15    </v>
      </c>
      <c r="BU9" s="4" t="str">
        <f ca="1">"+  " &amp; RANDBETWEEN(1,MAX(1,BU8-1)) &amp; "    "</f>
        <v xml:space="preserve">+  4    </v>
      </c>
      <c r="BW9" s="4" t="str">
        <f ca="1">"+  " &amp; RANDBETWEEN(1,MAX(1,BW8-1)) &amp; "    "</f>
        <v xml:space="preserve">+  3    </v>
      </c>
      <c r="BY9" s="4" t="str">
        <f ca="1">"+  " &amp; RANDBETWEEN(1,MAX(1,BY8-1)) &amp; "    "</f>
        <v xml:space="preserve">+  10    </v>
      </c>
      <c r="CA9" s="4" t="str">
        <f ca="1">"+  " &amp; RANDBETWEEN(1,MAX(1,CA8-1)) &amp; "    "</f>
        <v xml:space="preserve">+  6    </v>
      </c>
      <c r="CC9" s="4" t="str">
        <f ca="1">"+  " &amp; RANDBETWEEN(1,MAX(1,CC8-1)) &amp; "    "</f>
        <v xml:space="preserve">+  19    </v>
      </c>
      <c r="CE9" s="4" t="str">
        <f ca="1">"+  " &amp; RANDBETWEEN(1,MAX(1,CE8-1)) &amp; "    "</f>
        <v xml:space="preserve">+  4    </v>
      </c>
      <c r="CG9" s="4" t="str">
        <f ca="1">"+  " &amp; RANDBETWEEN(1,MAX(1,CG8-1)) &amp; "    "</f>
        <v xml:space="preserve">+  4    </v>
      </c>
      <c r="CI9" s="4" t="str">
        <f ca="1">"+  " &amp; RANDBETWEEN(1,MAX(1,CI8-1)) &amp; "    "</f>
        <v xml:space="preserve">+  9    </v>
      </c>
      <c r="CK9" s="4" t="str">
        <f ca="1">"+  " &amp; RANDBETWEEN(1,MAX(1,CK8-1)) &amp; "    "</f>
        <v xml:space="preserve">+  4    </v>
      </c>
      <c r="CM9" s="4" t="str">
        <f ca="1">"+  " &amp; RANDBETWEEN(1,MAX(1,CM8-1)) &amp; "    "</f>
        <v xml:space="preserve">+  2    </v>
      </c>
      <c r="CO9" s="4" t="str">
        <f ca="1">"+  " &amp; RANDBETWEEN(1,MAX(1,CO8-1)) &amp; "    "</f>
        <v xml:space="preserve">+  1    </v>
      </c>
      <c r="CQ9" s="4" t="str">
        <f ca="1">"+  " &amp; RANDBETWEEN(1,MAX(1,CQ8-1)) &amp; "    "</f>
        <v xml:space="preserve">+  16    </v>
      </c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16"/>
      <c r="DJ9" s="16"/>
      <c r="DK9" s="16"/>
      <c r="DL9" s="16"/>
      <c r="DM9" s="19"/>
      <c r="DN9" s="21"/>
      <c r="DO9" s="16"/>
      <c r="DP9" s="16"/>
      <c r="DQ9" s="16"/>
      <c r="DR9" s="19"/>
      <c r="DS9" s="16"/>
      <c r="DT9" s="16"/>
      <c r="DU9" s="16"/>
      <c r="DV9" s="16"/>
      <c r="DW9" s="16"/>
    </row>
    <row r="10" spans="1:127" ht="32.25" customHeight="1" x14ac:dyDescent="0.25"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17"/>
      <c r="DJ10" s="17"/>
      <c r="DK10" s="17"/>
      <c r="DL10" s="17"/>
      <c r="DM10" s="18"/>
      <c r="DN10" s="20"/>
      <c r="DO10" s="17"/>
      <c r="DP10" s="17"/>
      <c r="DQ10" s="17"/>
      <c r="DR10" s="18"/>
    </row>
    <row r="11" spans="1:127" ht="23.25" customHeight="1" thickBot="1" x14ac:dyDescent="0.3">
      <c r="A11" s="3">
        <f ca="1">RANDBETWEEN(1,9)</f>
        <v>5</v>
      </c>
      <c r="C11" s="3">
        <f ca="1">RANDBETWEEN(1,9)</f>
        <v>4</v>
      </c>
      <c r="E11" s="3">
        <f ca="1">RANDBETWEEN(1,9)</f>
        <v>9</v>
      </c>
      <c r="G11" s="3">
        <f ca="1">RANDBETWEEN(1,9)</f>
        <v>5</v>
      </c>
      <c r="I11" s="3">
        <f ca="1">RANDBETWEEN(1,9)</f>
        <v>4</v>
      </c>
      <c r="K11" s="3">
        <f ca="1">RANDBETWEEN(1,9)</f>
        <v>9</v>
      </c>
      <c r="M11" s="3">
        <f ca="1">RANDBETWEEN(1,9)</f>
        <v>6</v>
      </c>
      <c r="O11" s="3">
        <f ca="1">RANDBETWEEN(1,9)</f>
        <v>4</v>
      </c>
      <c r="Q11" s="3">
        <f ca="1">RANDBETWEEN(1,9)</f>
        <v>9</v>
      </c>
      <c r="S11" s="3">
        <f ca="1">RANDBETWEEN(1,9)</f>
        <v>9</v>
      </c>
      <c r="U11" s="3">
        <f ca="1">RANDBETWEEN(1,9)</f>
        <v>9</v>
      </c>
      <c r="W11" s="3">
        <f ca="1">RANDBETWEEN(1,9)</f>
        <v>8</v>
      </c>
      <c r="Y11" s="3">
        <f ca="1">IF(A39+RIGHT(SUBSTITUTE(A38," ",""),1)=0,RIGHT(SUBSTITUTE(A38," ",""),1),A39)</f>
        <v>35</v>
      </c>
      <c r="AA11" s="3">
        <f ca="1">IF(C39+RIGHT(SUBSTITUTE(C38," ",""),1)=0,RIGHT(SUBSTITUTE(C38," ",""),1),C39)</f>
        <v>4</v>
      </c>
      <c r="AC11" s="3">
        <f ca="1">IF(E39+RIGHT(SUBSTITUTE(E38," ",""),1)=0,RIGHT(SUBSTITUTE(E38," ",""),1),E39)</f>
        <v>18</v>
      </c>
      <c r="AE11" s="3">
        <f ca="1">IF(G39+RIGHT(SUBSTITUTE(G38," ",""),1)=0,RIGHT(SUBSTITUTE(G38," ",""),1),G39)</f>
        <v>40</v>
      </c>
      <c r="AG11" s="3">
        <f ca="1">IF(I39+RIGHT(SUBSTITUTE(I38," ",""),1)=0,RIGHT(SUBSTITUTE(I38," ",""),1),I39)</f>
        <v>20</v>
      </c>
      <c r="AI11" s="3">
        <f ca="1">IF(K39+RIGHT(SUBSTITUTE(K38," ",""),1)=0,RIGHT(SUBSTITUTE(K38," ",""),1),K39)</f>
        <v>9</v>
      </c>
      <c r="AK11" s="3">
        <f ca="1">IF(M39+RIGHT(SUBSTITUTE(M38," ",""),1)=0,RIGHT(SUBSTITUTE(M38," ",""),1),M39)</f>
        <v>30</v>
      </c>
      <c r="AM11" s="3">
        <f ca="1">IF(O39+RIGHT(SUBSTITUTE(O38," ",""),1)=0,RIGHT(SUBSTITUTE(O38," ",""),1),O39)</f>
        <v>32</v>
      </c>
      <c r="AO11" s="3">
        <f ca="1">IF(Q39+RIGHT(SUBSTITUTE(Q38," ",""),1)=0,RIGHT(SUBSTITUTE(Q38," ",""),1),Q39)</f>
        <v>9</v>
      </c>
      <c r="AQ11" s="3">
        <f ca="1">IF(S39+RIGHT(SUBSTITUTE(S38," ",""),1)=0,RIGHT(SUBSTITUTE(S38," ",""),1),S39)</f>
        <v>81</v>
      </c>
      <c r="AS11" s="3" t="str">
        <f ca="1">IF(U39+RIGHT(SUBSTITUTE(U38," ",""),1)=0,RIGHT(SUBSTITUTE(U38," ",""),1),U39)</f>
        <v>0</v>
      </c>
      <c r="AU11" s="3">
        <f ca="1">IF(W39+RIGHT(SUBSTITUTE(W38," ",""),1)=0,RIGHT(SUBSTITUTE(W38," ",""),1),W39)</f>
        <v>24</v>
      </c>
      <c r="AW11" s="3">
        <f ca="1">RANDBETWEEN(5,30)</f>
        <v>20</v>
      </c>
      <c r="AY11" s="3">
        <f ca="1">RANDBETWEEN(5,30)</f>
        <v>23</v>
      </c>
      <c r="BA11" s="3">
        <f ca="1">RANDBETWEEN(5,30)</f>
        <v>28</v>
      </c>
      <c r="BC11" s="3">
        <f ca="1">RANDBETWEEN(5,30)</f>
        <v>6</v>
      </c>
      <c r="BE11" s="3">
        <f ca="1">RANDBETWEEN(5,30)</f>
        <v>19</v>
      </c>
      <c r="BG11" s="3">
        <f ca="1">RANDBETWEEN(5,30)</f>
        <v>23</v>
      </c>
      <c r="BI11" s="3">
        <f ca="1">RANDBETWEEN(5,30)</f>
        <v>8</v>
      </c>
      <c r="BK11" s="3">
        <f ca="1">RANDBETWEEN(5,30)</f>
        <v>12</v>
      </c>
      <c r="BM11" s="3">
        <f ca="1">RANDBETWEEN(5,30)</f>
        <v>30</v>
      </c>
      <c r="BO11" s="3">
        <f ca="1">RANDBETWEEN(5,30)</f>
        <v>23</v>
      </c>
      <c r="BQ11" s="3">
        <f ca="1">RANDBETWEEN(5,30)</f>
        <v>18</v>
      </c>
      <c r="BS11" s="3">
        <f ca="1">RANDBETWEEN(5,30)</f>
        <v>13</v>
      </c>
      <c r="BU11" s="3">
        <f ca="1">RANDBETWEEN(5,30)</f>
        <v>7</v>
      </c>
      <c r="BW11" s="3">
        <f ca="1">RANDBETWEEN(5,30)</f>
        <v>23</v>
      </c>
      <c r="BY11" s="3">
        <f ca="1">RANDBETWEEN(5,30)</f>
        <v>8</v>
      </c>
      <c r="CA11" s="3">
        <f ca="1">RANDBETWEEN(5,30)</f>
        <v>23</v>
      </c>
      <c r="CC11" s="3">
        <f ca="1">RANDBETWEEN(5,30)</f>
        <v>26</v>
      </c>
      <c r="CE11" s="3">
        <f ca="1">RANDBETWEEN(5,30)</f>
        <v>10</v>
      </c>
      <c r="CG11" s="3">
        <f ca="1">RANDBETWEEN(5,30)</f>
        <v>23</v>
      </c>
      <c r="CI11" s="3">
        <f ca="1">RANDBETWEEN(5,30)</f>
        <v>9</v>
      </c>
      <c r="CK11" s="3">
        <f ca="1">RANDBETWEEN(5,30)</f>
        <v>29</v>
      </c>
      <c r="CM11" s="3">
        <f ca="1">RANDBETWEEN(5,30)</f>
        <v>17</v>
      </c>
      <c r="CO11" s="3">
        <f ca="1">RANDBETWEEN(5,30)</f>
        <v>13</v>
      </c>
      <c r="CQ11" s="3">
        <f ca="1">RANDBETWEEN(5,30)</f>
        <v>10</v>
      </c>
      <c r="CS11" s="9" t="s">
        <v>4</v>
      </c>
      <c r="CT11" s="9"/>
      <c r="CU11" s="11">
        <f ca="1">MROUND(RAND(),1/96)</f>
        <v>0.5625</v>
      </c>
      <c r="CV11" s="11"/>
      <c r="CW11" s="9" t="s">
        <v>3</v>
      </c>
      <c r="CX11" s="9"/>
      <c r="CY11" s="11">
        <f ca="1">MROUND(CU11+RAND()*(1-CU11),1/48)+TIME(0,30,0)</f>
        <v>0.60416666666666663</v>
      </c>
      <c r="CZ11" s="11"/>
      <c r="DA11" s="12" t="s">
        <v>5</v>
      </c>
      <c r="DB11" s="12"/>
      <c r="DC11" s="12"/>
      <c r="DD11" s="7" t="s">
        <v>6</v>
      </c>
      <c r="DE11" s="7"/>
      <c r="DF11" s="8" t="s">
        <v>7</v>
      </c>
      <c r="DG11" s="7"/>
      <c r="DH11" s="7"/>
      <c r="DI11" s="17"/>
      <c r="DJ11" s="17"/>
      <c r="DK11" s="17"/>
      <c r="DL11" s="17"/>
      <c r="DM11" s="18"/>
      <c r="DN11" s="20"/>
      <c r="DO11" s="17"/>
      <c r="DP11" s="17"/>
      <c r="DQ11" s="17"/>
      <c r="DR11" s="18"/>
    </row>
    <row r="12" spans="1:127" ht="23.25" customHeight="1" thickBot="1" x14ac:dyDescent="0.3">
      <c r="A12" s="4" t="str">
        <f ca="1">"x  " &amp; RANDBETWEEN(0,9) &amp; "    "</f>
        <v xml:space="preserve">x  7    </v>
      </c>
      <c r="C12" s="4" t="str">
        <f ca="1">"x  " &amp; RANDBETWEEN(0,9) &amp; "    "</f>
        <v xml:space="preserve">x  1    </v>
      </c>
      <c r="E12" s="4" t="str">
        <f ca="1">"x  " &amp; RANDBETWEEN(0,9) &amp; "    "</f>
        <v xml:space="preserve">x  2    </v>
      </c>
      <c r="G12" s="4" t="str">
        <f ca="1">"x  " &amp; RANDBETWEEN(0,9) &amp; "    "</f>
        <v xml:space="preserve">x  8    </v>
      </c>
      <c r="I12" s="4" t="str">
        <f ca="1">"x  " &amp; RANDBETWEEN(0,9) &amp; "    "</f>
        <v xml:space="preserve">x  5    </v>
      </c>
      <c r="K12" s="4" t="str">
        <f ca="1">"x  " &amp; RANDBETWEEN(0,9) &amp; "    "</f>
        <v xml:space="preserve">x  1    </v>
      </c>
      <c r="M12" s="4" t="str">
        <f ca="1">"x  " &amp; RANDBETWEEN(0,9) &amp; "    "</f>
        <v xml:space="preserve">x  5    </v>
      </c>
      <c r="O12" s="4" t="str">
        <f ca="1">"x  " &amp; RANDBETWEEN(0,9) &amp; "    "</f>
        <v xml:space="preserve">x  8    </v>
      </c>
      <c r="Q12" s="4" t="str">
        <f ca="1">"x  " &amp; RANDBETWEEN(0,9) &amp; "    "</f>
        <v xml:space="preserve">x  1    </v>
      </c>
      <c r="S12" s="4" t="str">
        <f ca="1">"x  " &amp; RANDBETWEEN(0,9) &amp; "    "</f>
        <v xml:space="preserve">x  9    </v>
      </c>
      <c r="U12" s="4" t="str">
        <f ca="1">"x  " &amp; RANDBETWEEN(0,9) &amp; "    "</f>
        <v xml:space="preserve">x  0    </v>
      </c>
      <c r="W12" s="4" t="str">
        <f ca="1">"x  " &amp; RANDBETWEEN(0,9) &amp; "    "</f>
        <v xml:space="preserve">x  3    </v>
      </c>
      <c r="Y12" s="4" t="str">
        <f ca="1">"÷  " &amp; IF(A39+RIGHT(SUBSTITUTE(A38," ",""),1)=0,A37,IF(RANDBETWEEN(1,2)=1,RIGHT(SUBSTITUTE(A38," ",""),1),A37)) &amp; "    "</f>
        <v xml:space="preserve">÷  7    </v>
      </c>
      <c r="AA12" s="4" t="str">
        <f ca="1">"÷  " &amp; IF(C39+RIGHT(SUBSTITUTE(C38," ",""),1)=0,C37,IF(RANDBETWEEN(1,2)=1,RIGHT(SUBSTITUTE(C38," ",""),1),C37)) &amp; "    "</f>
        <v xml:space="preserve">÷  1    </v>
      </c>
      <c r="AC12" s="4" t="str">
        <f ca="1">"÷  " &amp; IF(E39+RIGHT(SUBSTITUTE(E38," ",""),1)=0,E37,IF(RANDBETWEEN(1,2)=1,RIGHT(SUBSTITUTE(E38," ",""),1),E37)) &amp; "    "</f>
        <v xml:space="preserve">÷  9    </v>
      </c>
      <c r="AE12" s="4" t="str">
        <f ca="1">"÷  " &amp; IF(G39+RIGHT(SUBSTITUTE(G38," ",""),1)=0,G37,IF(RANDBETWEEN(1,2)=1,RIGHT(SUBSTITUTE(G38," ",""),1),G37)) &amp; "    "</f>
        <v xml:space="preserve">÷  8    </v>
      </c>
      <c r="AG12" s="4" t="str">
        <f ca="1">"÷  " &amp; IF(I39+RIGHT(SUBSTITUTE(I38," ",""),1)=0,I37,IF(RANDBETWEEN(1,2)=1,RIGHT(SUBSTITUTE(I38," ",""),1),I37)) &amp; "    "</f>
        <v xml:space="preserve">÷  5    </v>
      </c>
      <c r="AI12" s="4" t="str">
        <f ca="1">"÷  " &amp; IF(K39+RIGHT(SUBSTITUTE(K38," ",""),1)=0,K37,IF(RANDBETWEEN(1,2)=1,RIGHT(SUBSTITUTE(K38," ",""),1),K37)) &amp; "    "</f>
        <v xml:space="preserve">÷  1    </v>
      </c>
      <c r="AK12" s="4" t="str">
        <f ca="1">"÷  " &amp; IF(M39+RIGHT(SUBSTITUTE(M38," ",""),1)=0,M37,IF(RANDBETWEEN(1,2)=1,RIGHT(SUBSTITUTE(M38," ",""),1),M37)) &amp; "    "</f>
        <v xml:space="preserve">÷  6    </v>
      </c>
      <c r="AM12" s="4" t="str">
        <f ca="1">"÷  " &amp; IF(O39+RIGHT(SUBSTITUTE(O38," ",""),1)=0,O37,IF(RANDBETWEEN(1,2)=1,RIGHT(SUBSTITUTE(O38," ",""),1),O37)) &amp; "    "</f>
        <v xml:space="preserve">÷  4    </v>
      </c>
      <c r="AO12" s="4" t="str">
        <f ca="1">"÷  " &amp; IF(Q39+RIGHT(SUBSTITUTE(Q38," ",""),1)=0,Q37,IF(RANDBETWEEN(1,2)=1,RIGHT(SUBSTITUTE(Q38," ",""),1),Q37)) &amp; "    "</f>
        <v xml:space="preserve">÷  9    </v>
      </c>
      <c r="AQ12" s="4" t="str">
        <f ca="1">"÷  " &amp; IF(S39+RIGHT(SUBSTITUTE(S38," ",""),1)=0,S37,IF(RANDBETWEEN(1,2)=1,RIGHT(SUBSTITUTE(S38," ",""),1),S37)) &amp; "    "</f>
        <v xml:space="preserve">÷  9    </v>
      </c>
      <c r="AS12" s="4" t="str">
        <f ca="1">"÷  " &amp; IF(U39+RIGHT(SUBSTITUTE(U38," ",""),1)=0,U37,IF(RANDBETWEEN(1,2)=1,RIGHT(SUBSTITUTE(U38," ",""),1),U37)) &amp; "    "</f>
        <v xml:space="preserve">÷  9    </v>
      </c>
      <c r="AU12" s="4" t="str">
        <f ca="1">"÷  " &amp; IF(W39+RIGHT(SUBSTITUTE(W38," ",""),1)=0,W37,IF(RANDBETWEEN(1,2)=1,RIGHT(SUBSTITUTE(W38," ",""),1),W37)) &amp; "    "</f>
        <v xml:space="preserve">÷  3    </v>
      </c>
      <c r="AW12" s="4" t="str">
        <f ca="1">"-  " &amp; RANDBETWEEN(1,MAX(1,AW11-1)) &amp; "    "</f>
        <v xml:space="preserve">-  13    </v>
      </c>
      <c r="AY12" s="4" t="str">
        <f ca="1">"-  " &amp; RANDBETWEEN(1,MAX(1,AY11-1)) &amp; "    "</f>
        <v xml:space="preserve">-  12    </v>
      </c>
      <c r="BA12" s="4" t="str">
        <f ca="1">"-  " &amp; RANDBETWEEN(1,MAX(1,BA11-1)) &amp; "    "</f>
        <v xml:space="preserve">-  17    </v>
      </c>
      <c r="BC12" s="4" t="str">
        <f ca="1">"-  " &amp; RANDBETWEEN(1,MAX(1,BC11-1)) &amp; "    "</f>
        <v xml:space="preserve">-  1    </v>
      </c>
      <c r="BE12" s="4" t="str">
        <f ca="1">"-  " &amp; RANDBETWEEN(1,MAX(1,BE11-1)) &amp; "    "</f>
        <v xml:space="preserve">-  18    </v>
      </c>
      <c r="BG12" s="4" t="str">
        <f ca="1">"-  " &amp; RANDBETWEEN(1,MAX(1,BG11-1)) &amp; "    "</f>
        <v xml:space="preserve">-  16    </v>
      </c>
      <c r="BI12" s="4" t="str">
        <f ca="1">"-  " &amp; RANDBETWEEN(1,MAX(1,BI11-1)) &amp; "    "</f>
        <v xml:space="preserve">-  7    </v>
      </c>
      <c r="BK12" s="4" t="str">
        <f ca="1">"-  " &amp; RANDBETWEEN(1,MAX(1,BK11-1)) &amp; "    "</f>
        <v xml:space="preserve">-  6    </v>
      </c>
      <c r="BM12" s="4" t="str">
        <f ca="1">"-  " &amp; RANDBETWEEN(1,MAX(1,BM11-1)) &amp; "    "</f>
        <v xml:space="preserve">-  6    </v>
      </c>
      <c r="BO12" s="4" t="str">
        <f ca="1">"-  " &amp; RANDBETWEEN(1,MAX(1,BO11-1)) &amp; "    "</f>
        <v xml:space="preserve">-  10    </v>
      </c>
      <c r="BQ12" s="4" t="str">
        <f ca="1">"-  " &amp; RANDBETWEEN(1,MAX(1,BQ11-1)) &amp; "    "</f>
        <v xml:space="preserve">-  16    </v>
      </c>
      <c r="BS12" s="4" t="str">
        <f ca="1">"-  " &amp; RANDBETWEEN(1,MAX(1,BS11-1)) &amp; "    "</f>
        <v xml:space="preserve">-  11    </v>
      </c>
      <c r="BU12" s="4" t="str">
        <f ca="1">"+  " &amp; RANDBETWEEN(1,MAX(1,BU11-1)) &amp; "    "</f>
        <v xml:space="preserve">+  1    </v>
      </c>
      <c r="BW12" s="4" t="str">
        <f ca="1">"+  " &amp; RANDBETWEEN(1,MAX(1,BW11-1)) &amp; "    "</f>
        <v xml:space="preserve">+  7    </v>
      </c>
      <c r="BY12" s="4" t="str">
        <f ca="1">"+  " &amp; RANDBETWEEN(1,MAX(1,BY11-1)) &amp; "    "</f>
        <v xml:space="preserve">+  5    </v>
      </c>
      <c r="CA12" s="4" t="str">
        <f ca="1">"+  " &amp; RANDBETWEEN(1,MAX(1,CA11-1)) &amp; "    "</f>
        <v xml:space="preserve">+  7    </v>
      </c>
      <c r="CC12" s="4" t="str">
        <f ca="1">"+  " &amp; RANDBETWEEN(1,MAX(1,CC11-1)) &amp; "    "</f>
        <v xml:space="preserve">+  22    </v>
      </c>
      <c r="CE12" s="4" t="str">
        <f ca="1">"+  " &amp; RANDBETWEEN(1,MAX(1,CE11-1)) &amp; "    "</f>
        <v xml:space="preserve">+  1    </v>
      </c>
      <c r="CG12" s="4" t="str">
        <f ca="1">"+  " &amp; RANDBETWEEN(1,MAX(1,CG11-1)) &amp; "    "</f>
        <v xml:space="preserve">+  11    </v>
      </c>
      <c r="CI12" s="4" t="str">
        <f ca="1">"+  " &amp; RANDBETWEEN(1,MAX(1,CI11-1)) &amp; "    "</f>
        <v xml:space="preserve">+  4    </v>
      </c>
      <c r="CK12" s="4" t="str">
        <f ca="1">"+  " &amp; RANDBETWEEN(1,MAX(1,CK11-1)) &amp; "    "</f>
        <v xml:space="preserve">+  7    </v>
      </c>
      <c r="CM12" s="4" t="str">
        <f ca="1">"+  " &amp; RANDBETWEEN(1,MAX(1,CM11-1)) &amp; "    "</f>
        <v xml:space="preserve">+  4    </v>
      </c>
      <c r="CO12" s="4" t="str">
        <f ca="1">"+  " &amp; RANDBETWEEN(1,MAX(1,CO11-1)) &amp; "    "</f>
        <v xml:space="preserve">+  8    </v>
      </c>
      <c r="CQ12" s="4" t="str">
        <f ca="1">"+  " &amp; RANDBETWEEN(1,MAX(1,CQ11-1)) &amp; "    "</f>
        <v xml:space="preserve">+  6    </v>
      </c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17"/>
      <c r="DJ12" s="17"/>
      <c r="DK12" s="17"/>
      <c r="DL12" s="17"/>
      <c r="DM12" s="18"/>
      <c r="DN12" s="20"/>
      <c r="DO12" s="17"/>
      <c r="DP12" s="17"/>
      <c r="DQ12" s="17"/>
      <c r="DR12" s="18"/>
    </row>
    <row r="13" spans="1:127" ht="32.25" customHeight="1" x14ac:dyDescent="0.25"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17"/>
      <c r="DJ13" s="17"/>
      <c r="DK13" s="17"/>
      <c r="DL13" s="17"/>
      <c r="DM13" s="18"/>
      <c r="DN13" s="20"/>
      <c r="DO13" s="17"/>
      <c r="DP13" s="17"/>
      <c r="DQ13" s="17"/>
      <c r="DR13" s="18"/>
    </row>
    <row r="14" spans="1:127" ht="23.25" customHeight="1" thickBot="1" x14ac:dyDescent="0.3">
      <c r="A14" s="3">
        <f ca="1">RANDBETWEEN(1,9)</f>
        <v>4</v>
      </c>
      <c r="C14" s="3">
        <f ca="1">RANDBETWEEN(1,9)</f>
        <v>1</v>
      </c>
      <c r="E14" s="3">
        <f ca="1">RANDBETWEEN(1,9)</f>
        <v>5</v>
      </c>
      <c r="G14" s="3">
        <f ca="1">RANDBETWEEN(1,9)</f>
        <v>1</v>
      </c>
      <c r="I14" s="3">
        <f ca="1">RANDBETWEEN(1,9)</f>
        <v>8</v>
      </c>
      <c r="K14" s="3">
        <f ca="1">RANDBETWEEN(1,9)</f>
        <v>2</v>
      </c>
      <c r="M14" s="3">
        <f ca="1">RANDBETWEEN(1,9)</f>
        <v>6</v>
      </c>
      <c r="O14" s="3">
        <f ca="1">RANDBETWEEN(1,9)</f>
        <v>4</v>
      </c>
      <c r="Q14" s="3">
        <f ca="1">RANDBETWEEN(1,9)</f>
        <v>9</v>
      </c>
      <c r="S14" s="3">
        <f ca="1">RANDBETWEEN(1,9)</f>
        <v>5</v>
      </c>
      <c r="U14" s="3">
        <f ca="1">RANDBETWEEN(1,9)</f>
        <v>3</v>
      </c>
      <c r="W14" s="3">
        <f ca="1">RANDBETWEEN(1,9)</f>
        <v>5</v>
      </c>
      <c r="Y14" s="3">
        <f ca="1">IF(A42+RIGHT(SUBSTITUTE(A41," ",""),1)=0,RIGHT(SUBSTITUTE(A41," ",""),1),A42)</f>
        <v>8</v>
      </c>
      <c r="AA14" s="3">
        <f ca="1">IF(C42+RIGHT(SUBSTITUTE(C41," ",""),1)=0,RIGHT(SUBSTITUTE(C41," ",""),1),C42)</f>
        <v>6</v>
      </c>
      <c r="AC14" s="3">
        <f ca="1">IF(E42+RIGHT(SUBSTITUTE(E41," ",""),1)=0,RIGHT(SUBSTITUTE(E41," ",""),1),E42)</f>
        <v>15</v>
      </c>
      <c r="AE14" s="3">
        <f ca="1">IF(G42+RIGHT(SUBSTITUTE(G41," ",""),1)=0,RIGHT(SUBSTITUTE(G41," ",""),1),G42)</f>
        <v>3</v>
      </c>
      <c r="AG14" s="3">
        <f ca="1">IF(I42+RIGHT(SUBSTITUTE(I41," ",""),1)=0,RIGHT(SUBSTITUTE(I41," ",""),1),I42)</f>
        <v>24</v>
      </c>
      <c r="AI14" s="3" t="str">
        <f ca="1">IF(K42+RIGHT(SUBSTITUTE(K41," ",""),1)=0,RIGHT(SUBSTITUTE(K41," ",""),1),K42)</f>
        <v>0</v>
      </c>
      <c r="AK14" s="3" t="str">
        <f ca="1">IF(M42+RIGHT(SUBSTITUTE(M41," ",""),1)=0,RIGHT(SUBSTITUTE(M41," ",""),1),M42)</f>
        <v>0</v>
      </c>
      <c r="AM14" s="3">
        <f ca="1">IF(O42+RIGHT(SUBSTITUTE(O41," ",""),1)=0,RIGHT(SUBSTITUTE(O41," ",""),1),O42)</f>
        <v>36</v>
      </c>
      <c r="AO14" s="3" t="str">
        <f ca="1">IF(Q42+RIGHT(SUBSTITUTE(Q41," ",""),1)=0,RIGHT(SUBSTITUTE(Q41," ",""),1),Q42)</f>
        <v>0</v>
      </c>
      <c r="AQ14" s="3">
        <f ca="1">IF(S42+RIGHT(SUBSTITUTE(S41," ",""),1)=0,RIGHT(SUBSTITUTE(S41," ",""),1),S42)</f>
        <v>25</v>
      </c>
      <c r="AS14" s="3">
        <f ca="1">IF(U42+RIGHT(SUBSTITUTE(U41," ",""),1)=0,RIGHT(SUBSTITUTE(U41," ",""),1),U42)</f>
        <v>15</v>
      </c>
      <c r="AU14" s="3">
        <f ca="1">IF(W42+RIGHT(SUBSTITUTE(W41," ",""),1)=0,RIGHT(SUBSTITUTE(W41," ",""),1),W42)</f>
        <v>15</v>
      </c>
      <c r="AW14" s="3">
        <f ca="1">RANDBETWEEN(5,30)</f>
        <v>28</v>
      </c>
      <c r="AY14" s="3">
        <f ca="1">RANDBETWEEN(5,30)</f>
        <v>27</v>
      </c>
      <c r="BA14" s="3">
        <f ca="1">RANDBETWEEN(5,30)</f>
        <v>22</v>
      </c>
      <c r="BC14" s="3">
        <f ca="1">RANDBETWEEN(5,30)</f>
        <v>28</v>
      </c>
      <c r="BE14" s="3">
        <f ca="1">RANDBETWEEN(5,30)</f>
        <v>25</v>
      </c>
      <c r="BG14" s="3">
        <f ca="1">RANDBETWEEN(5,30)</f>
        <v>11</v>
      </c>
      <c r="BI14" s="3">
        <f ca="1">RANDBETWEEN(5,30)</f>
        <v>28</v>
      </c>
      <c r="BK14" s="3">
        <f ca="1">RANDBETWEEN(5,30)</f>
        <v>23</v>
      </c>
      <c r="BM14" s="3">
        <f ca="1">RANDBETWEEN(5,30)</f>
        <v>21</v>
      </c>
      <c r="BO14" s="3">
        <f ca="1">RANDBETWEEN(5,30)</f>
        <v>22</v>
      </c>
      <c r="BQ14" s="3">
        <f ca="1">RANDBETWEEN(5,30)</f>
        <v>20</v>
      </c>
      <c r="BS14" s="3">
        <f ca="1">RANDBETWEEN(5,30)</f>
        <v>22</v>
      </c>
      <c r="BU14" s="3">
        <f ca="1">RANDBETWEEN(5,30)</f>
        <v>18</v>
      </c>
      <c r="BW14" s="3">
        <f ca="1">RANDBETWEEN(5,30)</f>
        <v>16</v>
      </c>
      <c r="BY14" s="3">
        <f ca="1">RANDBETWEEN(5,30)</f>
        <v>11</v>
      </c>
      <c r="CA14" s="3">
        <f ca="1">RANDBETWEEN(5,30)</f>
        <v>24</v>
      </c>
      <c r="CC14" s="3">
        <f ca="1">RANDBETWEEN(5,30)</f>
        <v>17</v>
      </c>
      <c r="CE14" s="3">
        <f ca="1">RANDBETWEEN(5,30)</f>
        <v>21</v>
      </c>
      <c r="CG14" s="3">
        <f ca="1">RANDBETWEEN(5,30)</f>
        <v>15</v>
      </c>
      <c r="CI14" s="3">
        <f ca="1">RANDBETWEEN(5,30)</f>
        <v>29</v>
      </c>
      <c r="CK14" s="3">
        <f ca="1">RANDBETWEEN(5,30)</f>
        <v>9</v>
      </c>
      <c r="CM14" s="3">
        <f ca="1">RANDBETWEEN(5,30)</f>
        <v>30</v>
      </c>
      <c r="CO14" s="3">
        <f ca="1">RANDBETWEEN(5,30)</f>
        <v>7</v>
      </c>
      <c r="CQ14" s="3">
        <f ca="1">RANDBETWEEN(5,30)</f>
        <v>30</v>
      </c>
      <c r="CS14" s="9" t="s">
        <v>4</v>
      </c>
      <c r="CT14" s="9"/>
      <c r="CU14" s="11">
        <f ca="1">MROUND(RAND(),1/96)</f>
        <v>0.55208333333333326</v>
      </c>
      <c r="CV14" s="11"/>
      <c r="CW14" s="9" t="s">
        <v>3</v>
      </c>
      <c r="CX14" s="9"/>
      <c r="CY14" s="11">
        <f ca="1">MROUND(CU14+RAND()*(1-CU14),1/48)+TIME(0,30,0)</f>
        <v>0.60416666666666663</v>
      </c>
      <c r="CZ14" s="11"/>
      <c r="DA14" s="12" t="s">
        <v>5</v>
      </c>
      <c r="DB14" s="12"/>
      <c r="DC14" s="12"/>
      <c r="DD14" s="7" t="s">
        <v>6</v>
      </c>
      <c r="DE14" s="7"/>
      <c r="DF14" s="8" t="s">
        <v>7</v>
      </c>
      <c r="DG14" s="7"/>
      <c r="DH14" s="7"/>
      <c r="DI14" s="17"/>
      <c r="DJ14" s="17"/>
      <c r="DK14" s="17"/>
      <c r="DL14" s="17"/>
      <c r="DM14" s="18"/>
      <c r="DN14" s="20"/>
      <c r="DO14" s="17"/>
      <c r="DP14" s="17"/>
      <c r="DQ14" s="17"/>
      <c r="DR14" s="18"/>
    </row>
    <row r="15" spans="1:127" ht="23.25" customHeight="1" thickBot="1" x14ac:dyDescent="0.3">
      <c r="A15" s="4" t="str">
        <f ca="1">"x  " &amp; RANDBETWEEN(0,9) &amp; "    "</f>
        <v xml:space="preserve">x  2    </v>
      </c>
      <c r="C15" s="4" t="str">
        <f ca="1">"x  " &amp; RANDBETWEEN(0,9) &amp; "    "</f>
        <v xml:space="preserve">x  6    </v>
      </c>
      <c r="E15" s="4" t="str">
        <f ca="1">"x  " &amp; RANDBETWEEN(0,9) &amp; "    "</f>
        <v xml:space="preserve">x  3    </v>
      </c>
      <c r="G15" s="4" t="str">
        <f ca="1">"x  " &amp; RANDBETWEEN(0,9) &amp; "    "</f>
        <v xml:space="preserve">x  3    </v>
      </c>
      <c r="I15" s="4" t="str">
        <f ca="1">"x  " &amp; RANDBETWEEN(0,9) &amp; "    "</f>
        <v xml:space="preserve">x  3    </v>
      </c>
      <c r="K15" s="4" t="str">
        <f ca="1">"x  " &amp; RANDBETWEEN(0,9) &amp; "    "</f>
        <v xml:space="preserve">x  0    </v>
      </c>
      <c r="M15" s="4" t="str">
        <f ca="1">"x  " &amp; RANDBETWEEN(0,9) &amp; "    "</f>
        <v xml:space="preserve">x  0    </v>
      </c>
      <c r="O15" s="4" t="str">
        <f ca="1">"x  " &amp; RANDBETWEEN(0,9) &amp; "    "</f>
        <v xml:space="preserve">x  9    </v>
      </c>
      <c r="Q15" s="4" t="str">
        <f ca="1">"x  " &amp; RANDBETWEEN(0,9) &amp; "    "</f>
        <v xml:space="preserve">x  0    </v>
      </c>
      <c r="S15" s="4" t="str">
        <f ca="1">"x  " &amp; RANDBETWEEN(0,9) &amp; "    "</f>
        <v xml:space="preserve">x  5    </v>
      </c>
      <c r="U15" s="4" t="str">
        <f ca="1">"x  " &amp; RANDBETWEEN(0,9) &amp; "    "</f>
        <v xml:space="preserve">x  5    </v>
      </c>
      <c r="W15" s="4" t="str">
        <f ca="1">"x  " &amp; RANDBETWEEN(0,9) &amp; "    "</f>
        <v xml:space="preserve">x  3    </v>
      </c>
      <c r="Y15" s="4" t="str">
        <f ca="1">"÷  " &amp; IF(A42+RIGHT(SUBSTITUTE(A41," ",""),1)=0,A40,IF(RANDBETWEEN(1,2)=1,RIGHT(SUBSTITUTE(A41," ",""),1),A40)) &amp; "    "</f>
        <v xml:space="preserve">÷  4    </v>
      </c>
      <c r="AA15" s="4" t="str">
        <f ca="1">"÷  " &amp; IF(C42+RIGHT(SUBSTITUTE(C41," ",""),1)=0,C40,IF(RANDBETWEEN(1,2)=1,RIGHT(SUBSTITUTE(C41," ",""),1),C40)) &amp; "    "</f>
        <v xml:space="preserve">÷  1    </v>
      </c>
      <c r="AC15" s="4" t="str">
        <f ca="1">"÷  " &amp; IF(E42+RIGHT(SUBSTITUTE(E41," ",""),1)=0,E40,IF(RANDBETWEEN(1,2)=1,RIGHT(SUBSTITUTE(E41," ",""),1),E40)) &amp; "    "</f>
        <v xml:space="preserve">÷  3    </v>
      </c>
      <c r="AE15" s="4" t="str">
        <f ca="1">"÷  " &amp; IF(G42+RIGHT(SUBSTITUTE(G41," ",""),1)=0,G40,IF(RANDBETWEEN(1,2)=1,RIGHT(SUBSTITUTE(G41," ",""),1),G40)) &amp; "    "</f>
        <v xml:space="preserve">÷  3    </v>
      </c>
      <c r="AG15" s="4" t="str">
        <f ca="1">"÷  " &amp; IF(I42+RIGHT(SUBSTITUTE(I41," ",""),1)=0,I40,IF(RANDBETWEEN(1,2)=1,RIGHT(SUBSTITUTE(I41," ",""),1),I40)) &amp; "    "</f>
        <v xml:space="preserve">÷  3    </v>
      </c>
      <c r="AI15" s="4" t="str">
        <f ca="1">"÷  " &amp; IF(K42+RIGHT(SUBSTITUTE(K41," ",""),1)=0,K40,IF(RANDBETWEEN(1,2)=1,RIGHT(SUBSTITUTE(K41," ",""),1),K40)) &amp; "    "</f>
        <v xml:space="preserve">÷  2    </v>
      </c>
      <c r="AK15" s="4" t="str">
        <f ca="1">"÷  " &amp; IF(M42+RIGHT(SUBSTITUTE(M41," ",""),1)=0,M40,IF(RANDBETWEEN(1,2)=1,RIGHT(SUBSTITUTE(M41," ",""),1),M40)) &amp; "    "</f>
        <v xml:space="preserve">÷  6    </v>
      </c>
      <c r="AM15" s="4" t="str">
        <f ca="1">"÷  " &amp; IF(O42+RIGHT(SUBSTITUTE(O41," ",""),1)=0,O40,IF(RANDBETWEEN(1,2)=1,RIGHT(SUBSTITUTE(O41," ",""),1),O40)) &amp; "    "</f>
        <v xml:space="preserve">÷  4    </v>
      </c>
      <c r="AO15" s="4" t="str">
        <f ca="1">"÷  " &amp; IF(Q42+RIGHT(SUBSTITUTE(Q41," ",""),1)=0,Q40,IF(RANDBETWEEN(1,2)=1,RIGHT(SUBSTITUTE(Q41," ",""),1),Q40)) &amp; "    "</f>
        <v xml:space="preserve">÷  9    </v>
      </c>
      <c r="AQ15" s="4" t="str">
        <f ca="1">"÷  " &amp; IF(S42+RIGHT(SUBSTITUTE(S41," ",""),1)=0,S40,IF(RANDBETWEEN(1,2)=1,RIGHT(SUBSTITUTE(S41," ",""),1),S40)) &amp; "    "</f>
        <v xml:space="preserve">÷  5    </v>
      </c>
      <c r="AS15" s="4" t="str">
        <f ca="1">"÷  " &amp; IF(U42+RIGHT(SUBSTITUTE(U41," ",""),1)=0,U40,IF(RANDBETWEEN(1,2)=1,RIGHT(SUBSTITUTE(U41," ",""),1),U40)) &amp; "    "</f>
        <v xml:space="preserve">÷  5    </v>
      </c>
      <c r="AU15" s="4" t="str">
        <f ca="1">"÷  " &amp; IF(W42+RIGHT(SUBSTITUTE(W41," ",""),1)=0,W40,IF(RANDBETWEEN(1,2)=1,RIGHT(SUBSTITUTE(W41," ",""),1),W40)) &amp; "    "</f>
        <v xml:space="preserve">÷  5    </v>
      </c>
      <c r="AW15" s="4" t="str">
        <f ca="1">"-  " &amp; RANDBETWEEN(1,MAX(1,AW14-1)) &amp; "    "</f>
        <v xml:space="preserve">-  9    </v>
      </c>
      <c r="AY15" s="4" t="str">
        <f ca="1">"-  " &amp; RANDBETWEEN(1,MAX(1,AY14-1)) &amp; "    "</f>
        <v xml:space="preserve">-  21    </v>
      </c>
      <c r="BA15" s="4" t="str">
        <f ca="1">"-  " &amp; RANDBETWEEN(1,MAX(1,BA14-1)) &amp; "    "</f>
        <v xml:space="preserve">-  2    </v>
      </c>
      <c r="BC15" s="4" t="str">
        <f ca="1">"-  " &amp; RANDBETWEEN(1,MAX(1,BC14-1)) &amp; "    "</f>
        <v xml:space="preserve">-  27    </v>
      </c>
      <c r="BE15" s="4" t="str">
        <f ca="1">"-  " &amp; RANDBETWEEN(1,MAX(1,BE14-1)) &amp; "    "</f>
        <v xml:space="preserve">-  15    </v>
      </c>
      <c r="BG15" s="4" t="str">
        <f ca="1">"-  " &amp; RANDBETWEEN(1,MAX(1,BG14-1)) &amp; "    "</f>
        <v xml:space="preserve">-  7    </v>
      </c>
      <c r="BI15" s="4" t="str">
        <f ca="1">"-  " &amp; RANDBETWEEN(1,MAX(1,BI14-1)) &amp; "    "</f>
        <v xml:space="preserve">-  11    </v>
      </c>
      <c r="BK15" s="4" t="str">
        <f ca="1">"-  " &amp; RANDBETWEEN(1,MAX(1,BK14-1)) &amp; "    "</f>
        <v xml:space="preserve">-  12    </v>
      </c>
      <c r="BM15" s="4" t="str">
        <f ca="1">"-  " &amp; RANDBETWEEN(1,MAX(1,BM14-1)) &amp; "    "</f>
        <v xml:space="preserve">-  13    </v>
      </c>
      <c r="BO15" s="4" t="str">
        <f ca="1">"-  " &amp; RANDBETWEEN(1,MAX(1,BO14-1)) &amp; "    "</f>
        <v xml:space="preserve">-  20    </v>
      </c>
      <c r="BQ15" s="4" t="str">
        <f ca="1">"-  " &amp; RANDBETWEEN(1,MAX(1,BQ14-1)) &amp; "    "</f>
        <v xml:space="preserve">-  19    </v>
      </c>
      <c r="BS15" s="4" t="str">
        <f ca="1">"-  " &amp; RANDBETWEEN(1,MAX(1,BS14-1)) &amp; "    "</f>
        <v xml:space="preserve">-  5    </v>
      </c>
      <c r="BU15" s="4" t="str">
        <f ca="1">"+  " &amp; RANDBETWEEN(1,MAX(1,BU14-1)) &amp; "    "</f>
        <v xml:space="preserve">+  8    </v>
      </c>
      <c r="BW15" s="4" t="str">
        <f ca="1">"+  " &amp; RANDBETWEEN(1,MAX(1,BW14-1)) &amp; "    "</f>
        <v xml:space="preserve">+  3    </v>
      </c>
      <c r="BY15" s="4" t="str">
        <f ca="1">"+  " &amp; RANDBETWEEN(1,MAX(1,BY14-1)) &amp; "    "</f>
        <v xml:space="preserve">+  5    </v>
      </c>
      <c r="CA15" s="4" t="str">
        <f ca="1">"+  " &amp; RANDBETWEEN(1,MAX(1,CA14-1)) &amp; "    "</f>
        <v xml:space="preserve">+  11    </v>
      </c>
      <c r="CC15" s="4" t="str">
        <f ca="1">"+  " &amp; RANDBETWEEN(1,MAX(1,CC14-1)) &amp; "    "</f>
        <v xml:space="preserve">+  2    </v>
      </c>
      <c r="CE15" s="4" t="str">
        <f ca="1">"+  " &amp; RANDBETWEEN(1,MAX(1,CE14-1)) &amp; "    "</f>
        <v xml:space="preserve">+  13    </v>
      </c>
      <c r="CG15" s="4" t="str">
        <f ca="1">"+  " &amp; RANDBETWEEN(1,MAX(1,CG14-1)) &amp; "    "</f>
        <v xml:space="preserve">+  7    </v>
      </c>
      <c r="CI15" s="4" t="str">
        <f ca="1">"+  " &amp; RANDBETWEEN(1,MAX(1,CI14-1)) &amp; "    "</f>
        <v xml:space="preserve">+  27    </v>
      </c>
      <c r="CK15" s="4" t="str">
        <f ca="1">"+  " &amp; RANDBETWEEN(1,MAX(1,CK14-1)) &amp; "    "</f>
        <v xml:space="preserve">+  1    </v>
      </c>
      <c r="CM15" s="4" t="str">
        <f ca="1">"+  " &amp; RANDBETWEEN(1,MAX(1,CM14-1)) &amp; "    "</f>
        <v xml:space="preserve">+  6    </v>
      </c>
      <c r="CO15" s="4" t="str">
        <f ca="1">"+  " &amp; RANDBETWEEN(1,MAX(1,CO14-1)) &amp; "    "</f>
        <v xml:space="preserve">+  3    </v>
      </c>
      <c r="CQ15" s="4" t="str">
        <f ca="1">"+  " &amp; RANDBETWEEN(1,MAX(1,CQ14-1)) &amp; "    "</f>
        <v xml:space="preserve">+  1    </v>
      </c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17"/>
      <c r="DJ15" s="17"/>
      <c r="DK15" s="17"/>
      <c r="DL15" s="17"/>
      <c r="DM15" s="18"/>
      <c r="DN15" s="20"/>
      <c r="DO15" s="17"/>
      <c r="DP15" s="17"/>
      <c r="DQ15" s="17"/>
      <c r="DR15" s="18"/>
    </row>
    <row r="16" spans="1:127" ht="32.25" customHeight="1" x14ac:dyDescent="0.25"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16" t="s">
        <v>11</v>
      </c>
      <c r="DJ16" s="16"/>
      <c r="DK16" s="16"/>
      <c r="DL16" s="16"/>
      <c r="DM16" s="19"/>
      <c r="DN16" s="21" t="s">
        <v>11</v>
      </c>
      <c r="DO16" s="16"/>
      <c r="DP16" s="16"/>
      <c r="DQ16" s="16"/>
      <c r="DR16" s="19"/>
      <c r="DS16" s="16" t="s">
        <v>11</v>
      </c>
      <c r="DT16" s="16"/>
      <c r="DU16" s="16"/>
      <c r="DV16" s="16"/>
      <c r="DW16" s="16"/>
    </row>
    <row r="17" spans="1:127" ht="23.25" customHeight="1" thickBot="1" x14ac:dyDescent="0.3">
      <c r="A17" s="3">
        <f ca="1">RANDBETWEEN(1,9)</f>
        <v>5</v>
      </c>
      <c r="C17" s="3">
        <f ca="1">RANDBETWEEN(1,9)</f>
        <v>9</v>
      </c>
      <c r="E17" s="3">
        <f ca="1">RANDBETWEEN(1,9)</f>
        <v>5</v>
      </c>
      <c r="G17" s="3">
        <f ca="1">RANDBETWEEN(1,9)</f>
        <v>3</v>
      </c>
      <c r="I17" s="3">
        <f ca="1">RANDBETWEEN(1,9)</f>
        <v>1</v>
      </c>
      <c r="K17" s="3">
        <f ca="1">RANDBETWEEN(1,9)</f>
        <v>4</v>
      </c>
      <c r="M17" s="3">
        <f ca="1">RANDBETWEEN(1,9)</f>
        <v>2</v>
      </c>
      <c r="O17" s="3">
        <f ca="1">RANDBETWEEN(1,9)</f>
        <v>3</v>
      </c>
      <c r="Q17" s="3">
        <f ca="1">RANDBETWEEN(1,9)</f>
        <v>5</v>
      </c>
      <c r="S17" s="3">
        <f ca="1">RANDBETWEEN(1,9)</f>
        <v>8</v>
      </c>
      <c r="U17" s="3">
        <f ca="1">RANDBETWEEN(1,9)</f>
        <v>7</v>
      </c>
      <c r="W17" s="3">
        <f ca="1">RANDBETWEEN(1,9)</f>
        <v>8</v>
      </c>
      <c r="Y17" s="3">
        <f ca="1">IF(A45+RIGHT(SUBSTITUTE(A44," ",""),1)=0,RIGHT(SUBSTITUTE(A44," ",""),1),A45)</f>
        <v>35</v>
      </c>
      <c r="AA17" s="3">
        <f ca="1">IF(C45+RIGHT(SUBSTITUTE(C44," ",""),1)=0,RIGHT(SUBSTITUTE(C44," ",""),1),C45)</f>
        <v>63</v>
      </c>
      <c r="AC17" s="3">
        <f ca="1">IF(E45+RIGHT(SUBSTITUTE(E44," ",""),1)=0,RIGHT(SUBSTITUTE(E44," ",""),1),E45)</f>
        <v>15</v>
      </c>
      <c r="AE17" s="3">
        <f ca="1">IF(G45+RIGHT(SUBSTITUTE(G44," ",""),1)=0,RIGHT(SUBSTITUTE(G44," ",""),1),G45)</f>
        <v>3</v>
      </c>
      <c r="AG17" s="3">
        <f ca="1">IF(I45+RIGHT(SUBSTITUTE(I44," ",""),1)=0,RIGHT(SUBSTITUTE(I44," ",""),1),I45)</f>
        <v>8</v>
      </c>
      <c r="AI17" s="3" t="str">
        <f ca="1">IF(K45+RIGHT(SUBSTITUTE(K44," ",""),1)=0,RIGHT(SUBSTITUTE(K44," ",""),1),K45)</f>
        <v>0</v>
      </c>
      <c r="AK17" s="3">
        <f ca="1">IF(M45+RIGHT(SUBSTITUTE(M44," ",""),1)=0,RIGHT(SUBSTITUTE(M44," ",""),1),M45)</f>
        <v>8</v>
      </c>
      <c r="AM17" s="3">
        <f ca="1">IF(O45+RIGHT(SUBSTITUTE(O44," ",""),1)=0,RIGHT(SUBSTITUTE(O44," ",""),1),O45)</f>
        <v>3</v>
      </c>
      <c r="AO17" s="3">
        <f ca="1">IF(Q45+RIGHT(SUBSTITUTE(Q44," ",""),1)=0,RIGHT(SUBSTITUTE(Q44," ",""),1),Q45)</f>
        <v>35</v>
      </c>
      <c r="AQ17" s="3" t="str">
        <f ca="1">IF(S45+RIGHT(SUBSTITUTE(S44," ",""),1)=0,RIGHT(SUBSTITUTE(S44," ",""),1),S45)</f>
        <v>0</v>
      </c>
      <c r="AS17" s="3">
        <f ca="1">IF(U45+RIGHT(SUBSTITUTE(U44," ",""),1)=0,RIGHT(SUBSTITUTE(U44," ",""),1),U45)</f>
        <v>49</v>
      </c>
      <c r="AU17" s="3">
        <f ca="1">IF(W45+RIGHT(SUBSTITUTE(W44," ",""),1)=0,RIGHT(SUBSTITUTE(W44," ",""),1),W45)</f>
        <v>16</v>
      </c>
      <c r="AW17" s="3">
        <f ca="1">RANDBETWEEN(5,30)</f>
        <v>28</v>
      </c>
      <c r="AY17" s="3">
        <f ca="1">RANDBETWEEN(5,30)</f>
        <v>20</v>
      </c>
      <c r="BA17" s="3">
        <f ca="1">RANDBETWEEN(5,30)</f>
        <v>5</v>
      </c>
      <c r="BC17" s="3">
        <f ca="1">RANDBETWEEN(5,30)</f>
        <v>26</v>
      </c>
      <c r="BE17" s="3">
        <f ca="1">RANDBETWEEN(5,30)</f>
        <v>5</v>
      </c>
      <c r="BG17" s="3">
        <f ca="1">RANDBETWEEN(5,30)</f>
        <v>17</v>
      </c>
      <c r="BI17" s="3">
        <f ca="1">RANDBETWEEN(5,30)</f>
        <v>30</v>
      </c>
      <c r="BK17" s="3">
        <f ca="1">RANDBETWEEN(5,30)</f>
        <v>6</v>
      </c>
      <c r="BM17" s="3">
        <f ca="1">RANDBETWEEN(5,30)</f>
        <v>8</v>
      </c>
      <c r="BO17" s="3">
        <f ca="1">RANDBETWEEN(5,30)</f>
        <v>13</v>
      </c>
      <c r="BQ17" s="3">
        <f ca="1">RANDBETWEEN(5,30)</f>
        <v>6</v>
      </c>
      <c r="BS17" s="3">
        <f ca="1">RANDBETWEEN(5,30)</f>
        <v>6</v>
      </c>
      <c r="BU17" s="3">
        <f ca="1">RANDBETWEEN(5,30)</f>
        <v>17</v>
      </c>
      <c r="BW17" s="3">
        <f ca="1">RANDBETWEEN(5,30)</f>
        <v>24</v>
      </c>
      <c r="BY17" s="3">
        <f ca="1">RANDBETWEEN(5,30)</f>
        <v>20</v>
      </c>
      <c r="CA17" s="3">
        <f ca="1">RANDBETWEEN(5,30)</f>
        <v>26</v>
      </c>
      <c r="CC17" s="3">
        <f ca="1">RANDBETWEEN(5,30)</f>
        <v>20</v>
      </c>
      <c r="CE17" s="3">
        <f ca="1">RANDBETWEEN(5,30)</f>
        <v>14</v>
      </c>
      <c r="CG17" s="3">
        <f ca="1">RANDBETWEEN(5,30)</f>
        <v>22</v>
      </c>
      <c r="CI17" s="3">
        <f ca="1">RANDBETWEEN(5,30)</f>
        <v>15</v>
      </c>
      <c r="CK17" s="3">
        <f ca="1">RANDBETWEEN(5,30)</f>
        <v>10</v>
      </c>
      <c r="CM17" s="3">
        <f ca="1">RANDBETWEEN(5,30)</f>
        <v>10</v>
      </c>
      <c r="CO17" s="3">
        <f ca="1">RANDBETWEEN(5,30)</f>
        <v>12</v>
      </c>
      <c r="CQ17" s="3">
        <f ca="1">RANDBETWEEN(5,30)</f>
        <v>12</v>
      </c>
      <c r="CS17" s="9" t="s">
        <v>4</v>
      </c>
      <c r="CT17" s="9"/>
      <c r="CU17" s="11">
        <f ca="1">MROUND(RAND(),1/(24*60))</f>
        <v>0.62569444444444444</v>
      </c>
      <c r="CV17" s="11"/>
      <c r="CW17" s="9" t="s">
        <v>3</v>
      </c>
      <c r="CX17" s="9"/>
      <c r="CY17" s="11">
        <f ca="1">MROUND(CU17+RAND()*(1-CU17),1/(24*60))</f>
        <v>0.85555555555555562</v>
      </c>
      <c r="CZ17" s="11"/>
      <c r="DA17" s="12" t="s">
        <v>5</v>
      </c>
      <c r="DB17" s="12"/>
      <c r="DC17" s="12"/>
      <c r="DD17" s="7" t="s">
        <v>6</v>
      </c>
      <c r="DE17" s="7"/>
      <c r="DF17" s="8" t="s">
        <v>7</v>
      </c>
      <c r="DG17" s="7"/>
      <c r="DH17" s="7"/>
      <c r="DI17" s="16"/>
      <c r="DJ17" s="16"/>
      <c r="DK17" s="16"/>
      <c r="DL17" s="16"/>
      <c r="DM17" s="19"/>
      <c r="DN17" s="21"/>
      <c r="DO17" s="16"/>
      <c r="DP17" s="16"/>
      <c r="DQ17" s="16"/>
      <c r="DR17" s="19"/>
      <c r="DS17" s="16"/>
      <c r="DT17" s="16"/>
      <c r="DU17" s="16"/>
      <c r="DV17" s="16"/>
      <c r="DW17" s="16"/>
    </row>
    <row r="18" spans="1:127" ht="23.25" customHeight="1" thickBot="1" x14ac:dyDescent="0.3">
      <c r="A18" s="4" t="str">
        <f ca="1">"x  " &amp; RANDBETWEEN(0,9) &amp; "    "</f>
        <v xml:space="preserve">x  7    </v>
      </c>
      <c r="C18" s="4" t="str">
        <f ca="1">"x  " &amp; RANDBETWEEN(0,9) &amp; "    "</f>
        <v xml:space="preserve">x  7    </v>
      </c>
      <c r="E18" s="4" t="str">
        <f ca="1">"x  " &amp; RANDBETWEEN(0,9) &amp; "    "</f>
        <v xml:space="preserve">x  3    </v>
      </c>
      <c r="G18" s="4" t="str">
        <f ca="1">"x  " &amp; RANDBETWEEN(0,9) &amp; "    "</f>
        <v xml:space="preserve">x  1    </v>
      </c>
      <c r="I18" s="4" t="str">
        <f ca="1">"x  " &amp; RANDBETWEEN(0,9) &amp; "    "</f>
        <v xml:space="preserve">x  8    </v>
      </c>
      <c r="K18" s="4" t="str">
        <f ca="1">"x  " &amp; RANDBETWEEN(0,9) &amp; "    "</f>
        <v xml:space="preserve">x  0    </v>
      </c>
      <c r="M18" s="4" t="str">
        <f ca="1">"x  " &amp; RANDBETWEEN(0,9) &amp; "    "</f>
        <v xml:space="preserve">x  4    </v>
      </c>
      <c r="O18" s="4" t="str">
        <f ca="1">"x  " &amp; RANDBETWEEN(0,9) &amp; "    "</f>
        <v xml:space="preserve">x  1    </v>
      </c>
      <c r="Q18" s="4" t="str">
        <f ca="1">"x  " &amp; RANDBETWEEN(0,9) &amp; "    "</f>
        <v xml:space="preserve">x  7    </v>
      </c>
      <c r="S18" s="4" t="str">
        <f ca="1">"x  " &amp; RANDBETWEEN(0,9) &amp; "    "</f>
        <v xml:space="preserve">x  0    </v>
      </c>
      <c r="U18" s="4" t="str">
        <f ca="1">"x  " &amp; RANDBETWEEN(0,9) &amp; "    "</f>
        <v xml:space="preserve">x  7    </v>
      </c>
      <c r="W18" s="4" t="str">
        <f ca="1">"x  " &amp; RANDBETWEEN(0,9) &amp; "    "</f>
        <v xml:space="preserve">x  2    </v>
      </c>
      <c r="Y18" s="4" t="str">
        <f ca="1">"÷  " &amp; IF(A45+RIGHT(SUBSTITUTE(A44," ",""),1)=0,A43,IF(RANDBETWEEN(1,2)=1,RIGHT(SUBSTITUTE(A44," ",""),1),A43)) &amp; "    "</f>
        <v xml:space="preserve">÷  7    </v>
      </c>
      <c r="AA18" s="4" t="str">
        <f ca="1">"÷  " &amp; IF(C45+RIGHT(SUBSTITUTE(C44," ",""),1)=0,C43,IF(RANDBETWEEN(1,2)=1,RIGHT(SUBSTITUTE(C44," ",""),1),C43)) &amp; "    "</f>
        <v xml:space="preserve">÷  9    </v>
      </c>
      <c r="AC18" s="4" t="str">
        <f ca="1">"÷  " &amp; IF(E45+RIGHT(SUBSTITUTE(E44," ",""),1)=0,E43,IF(RANDBETWEEN(1,2)=1,RIGHT(SUBSTITUTE(E44," ",""),1),E43)) &amp; "    "</f>
        <v xml:space="preserve">÷  5    </v>
      </c>
      <c r="AE18" s="4" t="str">
        <f ca="1">"÷  " &amp; IF(G45+RIGHT(SUBSTITUTE(G44," ",""),1)=0,G43,IF(RANDBETWEEN(1,2)=1,RIGHT(SUBSTITUTE(G44," ",""),1),G43)) &amp; "    "</f>
        <v xml:space="preserve">÷  3    </v>
      </c>
      <c r="AG18" s="4" t="str">
        <f ca="1">"÷  " &amp; IF(I45+RIGHT(SUBSTITUTE(I44," ",""),1)=0,I43,IF(RANDBETWEEN(1,2)=1,RIGHT(SUBSTITUTE(I44," ",""),1),I43)) &amp; "    "</f>
        <v xml:space="preserve">÷  1    </v>
      </c>
      <c r="AI18" s="4" t="str">
        <f ca="1">"÷  " &amp; IF(K45+RIGHT(SUBSTITUTE(K44," ",""),1)=0,K43,IF(RANDBETWEEN(1,2)=1,RIGHT(SUBSTITUTE(K44," ",""),1),K43)) &amp; "    "</f>
        <v xml:space="preserve">÷  4    </v>
      </c>
      <c r="AK18" s="4" t="str">
        <f ca="1">"÷  " &amp; IF(M45+RIGHT(SUBSTITUTE(M44," ",""),1)=0,M43,IF(RANDBETWEEN(1,2)=1,RIGHT(SUBSTITUTE(M44," ",""),1),M43)) &amp; "    "</f>
        <v xml:space="preserve">÷  4    </v>
      </c>
      <c r="AM18" s="4" t="str">
        <f ca="1">"÷  " &amp; IF(O45+RIGHT(SUBSTITUTE(O44," ",""),1)=0,O43,IF(RANDBETWEEN(1,2)=1,RIGHT(SUBSTITUTE(O44," ",""),1),O43)) &amp; "    "</f>
        <v xml:space="preserve">÷  1    </v>
      </c>
      <c r="AO18" s="4" t="str">
        <f ca="1">"÷  " &amp; IF(Q45+RIGHT(SUBSTITUTE(Q44," ",""),1)=0,Q43,IF(RANDBETWEEN(1,2)=1,RIGHT(SUBSTITUTE(Q44," ",""),1),Q43)) &amp; "    "</f>
        <v xml:space="preserve">÷  7    </v>
      </c>
      <c r="AQ18" s="4" t="str">
        <f ca="1">"÷  " &amp; IF(S45+RIGHT(SUBSTITUTE(S44," ",""),1)=0,S43,IF(RANDBETWEEN(1,2)=1,RIGHT(SUBSTITUTE(S44," ",""),1),S43)) &amp; "    "</f>
        <v xml:space="preserve">÷  8    </v>
      </c>
      <c r="AS18" s="4" t="str">
        <f ca="1">"÷  " &amp; IF(U45+RIGHT(SUBSTITUTE(U44," ",""),1)=0,U43,IF(RANDBETWEEN(1,2)=1,RIGHT(SUBSTITUTE(U44," ",""),1),U43)) &amp; "    "</f>
        <v xml:space="preserve">÷  7    </v>
      </c>
      <c r="AU18" s="4" t="str">
        <f ca="1">"÷  " &amp; IF(W45+RIGHT(SUBSTITUTE(W44," ",""),1)=0,W43,IF(RANDBETWEEN(1,2)=1,RIGHT(SUBSTITUTE(W44," ",""),1),W43)) &amp; "    "</f>
        <v xml:space="preserve">÷  2    </v>
      </c>
      <c r="AW18" s="4" t="str">
        <f ca="1">"-  " &amp; RANDBETWEEN(1,MAX(1,AW17-1)) &amp; "    "</f>
        <v xml:space="preserve">-  3    </v>
      </c>
      <c r="AY18" s="4" t="str">
        <f ca="1">"-  " &amp; RANDBETWEEN(1,MAX(1,AY17-1)) &amp; "    "</f>
        <v xml:space="preserve">-  18    </v>
      </c>
      <c r="BA18" s="4" t="str">
        <f ca="1">"-  " &amp; RANDBETWEEN(1,MAX(1,BA17-1)) &amp; "    "</f>
        <v xml:space="preserve">-  2    </v>
      </c>
      <c r="BC18" s="4" t="str">
        <f ca="1">"-  " &amp; RANDBETWEEN(1,MAX(1,BC17-1)) &amp; "    "</f>
        <v xml:space="preserve">-  13    </v>
      </c>
      <c r="BE18" s="4" t="str">
        <f ca="1">"-  " &amp; RANDBETWEEN(1,MAX(1,BE17-1)) &amp; "    "</f>
        <v xml:space="preserve">-  4    </v>
      </c>
      <c r="BG18" s="4" t="str">
        <f ca="1">"-  " &amp; RANDBETWEEN(1,MAX(1,BG17-1)) &amp; "    "</f>
        <v xml:space="preserve">-  13    </v>
      </c>
      <c r="BI18" s="4" t="str">
        <f ca="1">"-  " &amp; RANDBETWEEN(1,MAX(1,BI17-1)) &amp; "    "</f>
        <v xml:space="preserve">-  19    </v>
      </c>
      <c r="BK18" s="4" t="str">
        <f ca="1">"-  " &amp; RANDBETWEEN(1,MAX(1,BK17-1)) &amp; "    "</f>
        <v xml:space="preserve">-  2    </v>
      </c>
      <c r="BM18" s="4" t="str">
        <f ca="1">"-  " &amp; RANDBETWEEN(1,MAX(1,BM17-1)) &amp; "    "</f>
        <v xml:space="preserve">-  3    </v>
      </c>
      <c r="BO18" s="4" t="str">
        <f ca="1">"-  " &amp; RANDBETWEEN(1,MAX(1,BO17-1)) &amp; "    "</f>
        <v xml:space="preserve">-  9    </v>
      </c>
      <c r="BQ18" s="4" t="str">
        <f ca="1">"-  " &amp; RANDBETWEEN(1,MAX(1,BQ17-1)) &amp; "    "</f>
        <v xml:space="preserve">-  2    </v>
      </c>
      <c r="BS18" s="4" t="str">
        <f ca="1">"-  " &amp; RANDBETWEEN(1,MAX(1,BS17-1)) &amp; "    "</f>
        <v xml:space="preserve">-  2    </v>
      </c>
      <c r="BU18" s="4" t="str">
        <f ca="1">"+  " &amp; RANDBETWEEN(1,MAX(1,BU17-1)) &amp; "    "</f>
        <v xml:space="preserve">+  4    </v>
      </c>
      <c r="BW18" s="4" t="str">
        <f ca="1">"+  " &amp; RANDBETWEEN(1,MAX(1,BW17-1)) &amp; "    "</f>
        <v xml:space="preserve">+  7    </v>
      </c>
      <c r="BY18" s="4" t="str">
        <f ca="1">"+  " &amp; RANDBETWEEN(1,MAX(1,BY17-1)) &amp; "    "</f>
        <v xml:space="preserve">+  17    </v>
      </c>
      <c r="CA18" s="4" t="str">
        <f ca="1">"+  " &amp; RANDBETWEEN(1,MAX(1,CA17-1)) &amp; "    "</f>
        <v xml:space="preserve">+  3    </v>
      </c>
      <c r="CC18" s="4" t="str">
        <f ca="1">"+  " &amp; RANDBETWEEN(1,MAX(1,CC17-1)) &amp; "    "</f>
        <v xml:space="preserve">+  1    </v>
      </c>
      <c r="CE18" s="4" t="str">
        <f ca="1">"+  " &amp; RANDBETWEEN(1,MAX(1,CE17-1)) &amp; "    "</f>
        <v xml:space="preserve">+  4    </v>
      </c>
      <c r="CG18" s="4" t="str">
        <f ca="1">"+  " &amp; RANDBETWEEN(1,MAX(1,CG17-1)) &amp; "    "</f>
        <v xml:space="preserve">+  15    </v>
      </c>
      <c r="CI18" s="4" t="str">
        <f ca="1">"+  " &amp; RANDBETWEEN(1,MAX(1,CI17-1)) &amp; "    "</f>
        <v xml:space="preserve">+  2    </v>
      </c>
      <c r="CK18" s="4" t="str">
        <f ca="1">"+  " &amp; RANDBETWEEN(1,MAX(1,CK17-1)) &amp; "    "</f>
        <v xml:space="preserve">+  7    </v>
      </c>
      <c r="CM18" s="4" t="str">
        <f ca="1">"+  " &amp; RANDBETWEEN(1,MAX(1,CM17-1)) &amp; "    "</f>
        <v xml:space="preserve">+  7    </v>
      </c>
      <c r="CO18" s="4" t="str">
        <f ca="1">"+  " &amp; RANDBETWEEN(1,MAX(1,CO17-1)) &amp; "    "</f>
        <v xml:space="preserve">+  1    </v>
      </c>
      <c r="CQ18" s="4" t="str">
        <f ca="1">"+  " &amp; RANDBETWEEN(1,MAX(1,CQ17-1)) &amp; "    "</f>
        <v xml:space="preserve">+  8    </v>
      </c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17"/>
      <c r="DJ18" s="17"/>
      <c r="DK18" s="17"/>
      <c r="DL18" s="17"/>
      <c r="DM18" s="18"/>
      <c r="DN18" s="20"/>
      <c r="DO18" s="17"/>
      <c r="DP18" s="17"/>
      <c r="DQ18" s="17"/>
      <c r="DR18" s="18"/>
    </row>
    <row r="19" spans="1:127" ht="32.25" customHeight="1" x14ac:dyDescent="0.25"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17"/>
      <c r="DJ19" s="17"/>
      <c r="DK19" s="17"/>
      <c r="DL19" s="17"/>
      <c r="DM19" s="18"/>
      <c r="DN19" s="20"/>
      <c r="DO19" s="17"/>
      <c r="DP19" s="17"/>
      <c r="DQ19" s="17"/>
      <c r="DR19" s="18"/>
    </row>
    <row r="20" spans="1:127" ht="23.25" customHeight="1" thickBot="1" x14ac:dyDescent="0.3">
      <c r="A20" s="3">
        <f ca="1">RANDBETWEEN(1,9)</f>
        <v>1</v>
      </c>
      <c r="C20" s="3">
        <f ca="1">RANDBETWEEN(1,9)</f>
        <v>7</v>
      </c>
      <c r="E20" s="3">
        <f ca="1">RANDBETWEEN(1,9)</f>
        <v>8</v>
      </c>
      <c r="G20" s="3">
        <f ca="1">RANDBETWEEN(1,9)</f>
        <v>3</v>
      </c>
      <c r="I20" s="3">
        <f ca="1">RANDBETWEEN(1,9)</f>
        <v>4</v>
      </c>
      <c r="K20" s="3">
        <f ca="1">RANDBETWEEN(1,9)</f>
        <v>9</v>
      </c>
      <c r="M20" s="3">
        <f ca="1">RANDBETWEEN(1,9)</f>
        <v>6</v>
      </c>
      <c r="O20" s="3">
        <f ca="1">RANDBETWEEN(1,9)</f>
        <v>4</v>
      </c>
      <c r="Q20" s="3">
        <f ca="1">RANDBETWEEN(1,9)</f>
        <v>5</v>
      </c>
      <c r="S20" s="3">
        <f ca="1">RANDBETWEEN(1,9)</f>
        <v>3</v>
      </c>
      <c r="U20" s="3">
        <f ca="1">RANDBETWEEN(1,9)</f>
        <v>3</v>
      </c>
      <c r="W20" s="3">
        <f ca="1">RANDBETWEEN(1,9)</f>
        <v>4</v>
      </c>
      <c r="Y20" s="3" t="str">
        <f ca="1">IF(A48+RIGHT(SUBSTITUTE(A47," ",""),1)=0,RIGHT(SUBSTITUTE(A47," ",""),1),A48)</f>
        <v>0</v>
      </c>
      <c r="AA20" s="3">
        <f ca="1">IF(C48+RIGHT(SUBSTITUTE(C47," ",""),1)=0,RIGHT(SUBSTITUTE(C47," ",""),1),C48)</f>
        <v>42</v>
      </c>
      <c r="AC20" s="3" t="str">
        <f ca="1">IF(E48+RIGHT(SUBSTITUTE(E47," ",""),1)=0,RIGHT(SUBSTITUTE(E47," ",""),1),E48)</f>
        <v>0</v>
      </c>
      <c r="AE20" s="3">
        <f ca="1">IF(G48+RIGHT(SUBSTITUTE(G47," ",""),1)=0,RIGHT(SUBSTITUTE(G47," ",""),1),G48)</f>
        <v>6</v>
      </c>
      <c r="AG20" s="3">
        <f ca="1">IF(I48+RIGHT(SUBSTITUTE(I47," ",""),1)=0,RIGHT(SUBSTITUTE(I47," ",""),1),I48)</f>
        <v>8</v>
      </c>
      <c r="AI20" s="3">
        <f ca="1">IF(K48+RIGHT(SUBSTITUTE(K47," ",""),1)=0,RIGHT(SUBSTITUTE(K47," ",""),1),K48)</f>
        <v>18</v>
      </c>
      <c r="AK20" s="3">
        <f ca="1">IF(M48+RIGHT(SUBSTITUTE(M47," ",""),1)=0,RIGHT(SUBSTITUTE(M47," ",""),1),M48)</f>
        <v>42</v>
      </c>
      <c r="AM20" s="3">
        <f ca="1">IF(O48+RIGHT(SUBSTITUTE(O47," ",""),1)=0,RIGHT(SUBSTITUTE(O47," ",""),1),O48)</f>
        <v>12</v>
      </c>
      <c r="AO20" s="3">
        <f ca="1">IF(Q48+RIGHT(SUBSTITUTE(Q47," ",""),1)=0,RIGHT(SUBSTITUTE(Q47," ",""),1),Q48)</f>
        <v>20</v>
      </c>
      <c r="AQ20" s="3">
        <f ca="1">IF(S48+RIGHT(SUBSTITUTE(S47," ",""),1)=0,RIGHT(SUBSTITUTE(S47," ",""),1),S48)</f>
        <v>24</v>
      </c>
      <c r="AS20" s="3">
        <f ca="1">IF(U48+RIGHT(SUBSTITUTE(U47," ",""),1)=0,RIGHT(SUBSTITUTE(U47," ",""),1),U48)</f>
        <v>12</v>
      </c>
      <c r="AU20" s="3">
        <f ca="1">IF(W48+RIGHT(SUBSTITUTE(W47," ",""),1)=0,RIGHT(SUBSTITUTE(W47," ",""),1),W48)</f>
        <v>28</v>
      </c>
      <c r="AW20" s="3">
        <f ca="1">RANDBETWEEN(5,30)</f>
        <v>25</v>
      </c>
      <c r="AY20" s="3">
        <f ca="1">RANDBETWEEN(5,30)</f>
        <v>11</v>
      </c>
      <c r="BA20" s="3">
        <f ca="1">RANDBETWEEN(5,30)</f>
        <v>25</v>
      </c>
      <c r="BC20" s="3">
        <f ca="1">RANDBETWEEN(5,30)</f>
        <v>25</v>
      </c>
      <c r="BE20" s="3">
        <f ca="1">RANDBETWEEN(5,30)</f>
        <v>19</v>
      </c>
      <c r="BG20" s="3">
        <f ca="1">RANDBETWEEN(5,30)</f>
        <v>17</v>
      </c>
      <c r="BI20" s="3">
        <f ca="1">RANDBETWEEN(5,30)</f>
        <v>13</v>
      </c>
      <c r="BK20" s="3">
        <f ca="1">RANDBETWEEN(5,30)</f>
        <v>16</v>
      </c>
      <c r="BM20" s="3">
        <f ca="1">RANDBETWEEN(5,30)</f>
        <v>25</v>
      </c>
      <c r="BO20" s="3">
        <f ca="1">RANDBETWEEN(5,30)</f>
        <v>22</v>
      </c>
      <c r="BQ20" s="3">
        <f ca="1">RANDBETWEEN(5,30)</f>
        <v>21</v>
      </c>
      <c r="BS20" s="3">
        <f ca="1">RANDBETWEEN(5,30)</f>
        <v>15</v>
      </c>
      <c r="BU20" s="3">
        <f ca="1">RANDBETWEEN(5,30)</f>
        <v>30</v>
      </c>
      <c r="BW20" s="3">
        <f ca="1">RANDBETWEEN(5,30)</f>
        <v>7</v>
      </c>
      <c r="BY20" s="3">
        <f ca="1">RANDBETWEEN(5,30)</f>
        <v>17</v>
      </c>
      <c r="CA20" s="3">
        <f ca="1">RANDBETWEEN(5,30)</f>
        <v>23</v>
      </c>
      <c r="CC20" s="3">
        <f ca="1">RANDBETWEEN(5,30)</f>
        <v>27</v>
      </c>
      <c r="CE20" s="3">
        <f ca="1">RANDBETWEEN(5,30)</f>
        <v>25</v>
      </c>
      <c r="CG20" s="3">
        <f ca="1">RANDBETWEEN(5,30)</f>
        <v>16</v>
      </c>
      <c r="CI20" s="3">
        <f ca="1">RANDBETWEEN(5,30)</f>
        <v>16</v>
      </c>
      <c r="CK20" s="3">
        <f ca="1">RANDBETWEEN(5,30)</f>
        <v>7</v>
      </c>
      <c r="CM20" s="3">
        <f ca="1">RANDBETWEEN(5,30)</f>
        <v>22</v>
      </c>
      <c r="CO20" s="3">
        <f ca="1">RANDBETWEEN(5,30)</f>
        <v>28</v>
      </c>
      <c r="CQ20" s="3">
        <f ca="1">RANDBETWEEN(5,30)</f>
        <v>13</v>
      </c>
      <c r="CS20" s="9" t="s">
        <v>4</v>
      </c>
      <c r="CT20" s="9"/>
      <c r="CU20" s="11">
        <f ca="1">MROUND(RAND(),1/(24*60))</f>
        <v>0.65694444444444444</v>
      </c>
      <c r="CV20" s="11"/>
      <c r="CW20" s="9" t="s">
        <v>3</v>
      </c>
      <c r="CX20" s="9"/>
      <c r="CY20" s="11">
        <f ca="1">MROUND(CU20+RAND()*(1-CU20),1/(24*60))</f>
        <v>0.91250000000000009</v>
      </c>
      <c r="CZ20" s="11"/>
      <c r="DA20" s="12" t="s">
        <v>5</v>
      </c>
      <c r="DB20" s="12"/>
      <c r="DC20" s="12"/>
      <c r="DD20" s="7" t="s">
        <v>6</v>
      </c>
      <c r="DE20" s="7"/>
      <c r="DF20" s="8" t="s">
        <v>7</v>
      </c>
      <c r="DG20" s="7"/>
      <c r="DH20" s="7"/>
      <c r="DI20" s="17"/>
      <c r="DJ20" s="17"/>
      <c r="DK20" s="17"/>
      <c r="DL20" s="17"/>
      <c r="DM20" s="18"/>
      <c r="DN20" s="20"/>
      <c r="DO20" s="17"/>
      <c r="DP20" s="17"/>
      <c r="DQ20" s="17"/>
      <c r="DR20" s="18"/>
    </row>
    <row r="21" spans="1:127" ht="23.25" customHeight="1" thickBot="1" x14ac:dyDescent="0.3">
      <c r="A21" s="4" t="str">
        <f ca="1">"x  " &amp; RANDBETWEEN(0,9) &amp; "    "</f>
        <v xml:space="preserve">x  0    </v>
      </c>
      <c r="C21" s="4" t="str">
        <f ca="1">"x  " &amp; RANDBETWEEN(0,9) &amp; "    "</f>
        <v xml:space="preserve">x  6    </v>
      </c>
      <c r="E21" s="4" t="str">
        <f ca="1">"x  " &amp; RANDBETWEEN(0,9) &amp; "    "</f>
        <v xml:space="preserve">x  0    </v>
      </c>
      <c r="G21" s="4" t="str">
        <f ca="1">"x  " &amp; RANDBETWEEN(0,9) &amp; "    "</f>
        <v xml:space="preserve">x  2    </v>
      </c>
      <c r="I21" s="4" t="str">
        <f ca="1">"x  " &amp; RANDBETWEEN(0,9) &amp; "    "</f>
        <v xml:space="preserve">x  2    </v>
      </c>
      <c r="K21" s="4" t="str">
        <f ca="1">"x  " &amp; RANDBETWEEN(0,9) &amp; "    "</f>
        <v xml:space="preserve">x  2    </v>
      </c>
      <c r="M21" s="4" t="str">
        <f ca="1">"x  " &amp; RANDBETWEEN(0,9) &amp; "    "</f>
        <v xml:space="preserve">x  7    </v>
      </c>
      <c r="O21" s="4" t="str">
        <f ca="1">"x  " &amp; RANDBETWEEN(0,9) &amp; "    "</f>
        <v xml:space="preserve">x  3    </v>
      </c>
      <c r="Q21" s="4" t="str">
        <f ca="1">"x  " &amp; RANDBETWEEN(0,9) &amp; "    "</f>
        <v xml:space="preserve">x  4    </v>
      </c>
      <c r="S21" s="4" t="str">
        <f ca="1">"x  " &amp; RANDBETWEEN(0,9) &amp; "    "</f>
        <v xml:space="preserve">x  8    </v>
      </c>
      <c r="U21" s="4" t="str">
        <f ca="1">"x  " &amp; RANDBETWEEN(0,9) &amp; "    "</f>
        <v xml:space="preserve">x  4    </v>
      </c>
      <c r="W21" s="4" t="str">
        <f ca="1">"x  " &amp; RANDBETWEEN(0,9) &amp; "    "</f>
        <v xml:space="preserve">x  7    </v>
      </c>
      <c r="Y21" s="4" t="str">
        <f ca="1">"÷  " &amp; IF(A48+RIGHT(SUBSTITUTE(A47," ",""),1)=0,A46,IF(RANDBETWEEN(1,2)=1,RIGHT(SUBSTITUTE(A47," ",""),1),A46)) &amp; "    "</f>
        <v xml:space="preserve">÷  1    </v>
      </c>
      <c r="AA21" s="4" t="str">
        <f ca="1">"÷  " &amp; IF(C48+RIGHT(SUBSTITUTE(C47," ",""),1)=0,C46,IF(RANDBETWEEN(1,2)=1,RIGHT(SUBSTITUTE(C47," ",""),1),C46)) &amp; "    "</f>
        <v xml:space="preserve">÷  7    </v>
      </c>
      <c r="AC21" s="4" t="str">
        <f ca="1">"÷  " &amp; IF(E48+RIGHT(SUBSTITUTE(E47," ",""),1)=0,E46,IF(RANDBETWEEN(1,2)=1,RIGHT(SUBSTITUTE(E47," ",""),1),E46)) &amp; "    "</f>
        <v xml:space="preserve">÷  8    </v>
      </c>
      <c r="AE21" s="4" t="str">
        <f ca="1">"÷  " &amp; IF(G48+RIGHT(SUBSTITUTE(G47," ",""),1)=0,G46,IF(RANDBETWEEN(1,2)=1,RIGHT(SUBSTITUTE(G47," ",""),1),G46)) &amp; "    "</f>
        <v xml:space="preserve">÷  2    </v>
      </c>
      <c r="AG21" s="4" t="str">
        <f ca="1">"÷  " &amp; IF(I48+RIGHT(SUBSTITUTE(I47," ",""),1)=0,I46,IF(RANDBETWEEN(1,2)=1,RIGHT(SUBSTITUTE(I47," ",""),1),I46)) &amp; "    "</f>
        <v xml:space="preserve">÷  4    </v>
      </c>
      <c r="AI21" s="4" t="str">
        <f ca="1">"÷  " &amp; IF(K48+RIGHT(SUBSTITUTE(K47," ",""),1)=0,K46,IF(RANDBETWEEN(1,2)=1,RIGHT(SUBSTITUTE(K47," ",""),1),K46)) &amp; "    "</f>
        <v xml:space="preserve">÷  2    </v>
      </c>
      <c r="AK21" s="4" t="str">
        <f ca="1">"÷  " &amp; IF(M48+RIGHT(SUBSTITUTE(M47," ",""),1)=0,M46,IF(RANDBETWEEN(1,2)=1,RIGHT(SUBSTITUTE(M47," ",""),1),M46)) &amp; "    "</f>
        <v xml:space="preserve">÷  6    </v>
      </c>
      <c r="AM21" s="4" t="str">
        <f ca="1">"÷  " &amp; IF(O48+RIGHT(SUBSTITUTE(O47," ",""),1)=0,O46,IF(RANDBETWEEN(1,2)=1,RIGHT(SUBSTITUTE(O47," ",""),1),O46)) &amp; "    "</f>
        <v xml:space="preserve">÷  3    </v>
      </c>
      <c r="AO21" s="4" t="str">
        <f ca="1">"÷  " &amp; IF(Q48+RIGHT(SUBSTITUTE(Q47," ",""),1)=0,Q46,IF(RANDBETWEEN(1,2)=1,RIGHT(SUBSTITUTE(Q47," ",""),1),Q46)) &amp; "    "</f>
        <v xml:space="preserve">÷  4    </v>
      </c>
      <c r="AQ21" s="4" t="str">
        <f ca="1">"÷  " &amp; IF(S48+RIGHT(SUBSTITUTE(S47," ",""),1)=0,S46,IF(RANDBETWEEN(1,2)=1,RIGHT(SUBSTITUTE(S47," ",""),1),S46)) &amp; "    "</f>
        <v xml:space="preserve">÷  3    </v>
      </c>
      <c r="AS21" s="4" t="str">
        <f ca="1">"÷  " &amp; IF(U48+RIGHT(SUBSTITUTE(U47," ",""),1)=0,U46,IF(RANDBETWEEN(1,2)=1,RIGHT(SUBSTITUTE(U47," ",""),1),U46)) &amp; "    "</f>
        <v xml:space="preserve">÷  4    </v>
      </c>
      <c r="AU21" s="4" t="str">
        <f ca="1">"÷  " &amp; IF(W48+RIGHT(SUBSTITUTE(W47," ",""),1)=0,W46,IF(RANDBETWEEN(1,2)=1,RIGHT(SUBSTITUTE(W47," ",""),1),W46)) &amp; "    "</f>
        <v xml:space="preserve">÷  7    </v>
      </c>
      <c r="AW21" s="4" t="str">
        <f ca="1">"-  " &amp; RANDBETWEEN(1,MAX(1,AW20-1)) &amp; "    "</f>
        <v xml:space="preserve">-  20    </v>
      </c>
      <c r="AY21" s="4" t="str">
        <f ca="1">"-  " &amp; RANDBETWEEN(1,MAX(1,AY20-1)) &amp; "    "</f>
        <v xml:space="preserve">-  9    </v>
      </c>
      <c r="BA21" s="4" t="str">
        <f ca="1">"-  " &amp; RANDBETWEEN(1,MAX(1,BA20-1)) &amp; "    "</f>
        <v xml:space="preserve">-  18    </v>
      </c>
      <c r="BC21" s="4" t="str">
        <f ca="1">"-  " &amp; RANDBETWEEN(1,MAX(1,BC20-1)) &amp; "    "</f>
        <v xml:space="preserve">-  8    </v>
      </c>
      <c r="BE21" s="4" t="str">
        <f ca="1">"-  " &amp; RANDBETWEEN(1,MAX(1,BE20-1)) &amp; "    "</f>
        <v xml:space="preserve">-  15    </v>
      </c>
      <c r="BG21" s="4" t="str">
        <f ca="1">"-  " &amp; RANDBETWEEN(1,MAX(1,BG20-1)) &amp; "    "</f>
        <v xml:space="preserve">-  10    </v>
      </c>
      <c r="BI21" s="4" t="str">
        <f ca="1">"-  " &amp; RANDBETWEEN(1,MAX(1,BI20-1)) &amp; "    "</f>
        <v xml:space="preserve">-  11    </v>
      </c>
      <c r="BK21" s="4" t="str">
        <f ca="1">"-  " &amp; RANDBETWEEN(1,MAX(1,BK20-1)) &amp; "    "</f>
        <v xml:space="preserve">-  5    </v>
      </c>
      <c r="BM21" s="4" t="str">
        <f ca="1">"-  " &amp; RANDBETWEEN(1,MAX(1,BM20-1)) &amp; "    "</f>
        <v xml:space="preserve">-  8    </v>
      </c>
      <c r="BO21" s="4" t="str">
        <f ca="1">"-  " &amp; RANDBETWEEN(1,MAX(1,BO20-1)) &amp; "    "</f>
        <v xml:space="preserve">-  4    </v>
      </c>
      <c r="BQ21" s="4" t="str">
        <f ca="1">"-  " &amp; RANDBETWEEN(1,MAX(1,BQ20-1)) &amp; "    "</f>
        <v xml:space="preserve">-  20    </v>
      </c>
      <c r="BS21" s="4" t="str">
        <f ca="1">"-  " &amp; RANDBETWEEN(1,MAX(1,BS20-1)) &amp; "    "</f>
        <v xml:space="preserve">-  13    </v>
      </c>
      <c r="BU21" s="4" t="str">
        <f ca="1">"+  " &amp; RANDBETWEEN(1,MAX(1,BU20-1)) &amp; "    "</f>
        <v xml:space="preserve">+  17    </v>
      </c>
      <c r="BW21" s="4" t="str">
        <f ca="1">"+  " &amp; RANDBETWEEN(1,MAX(1,BW20-1)) &amp; "    "</f>
        <v xml:space="preserve">+  2    </v>
      </c>
      <c r="BY21" s="4" t="str">
        <f ca="1">"+  " &amp; RANDBETWEEN(1,MAX(1,BY20-1)) &amp; "    "</f>
        <v xml:space="preserve">+  1    </v>
      </c>
      <c r="CA21" s="4" t="str">
        <f ca="1">"+  " &amp; RANDBETWEEN(1,MAX(1,CA20-1)) &amp; "    "</f>
        <v xml:space="preserve">+  16    </v>
      </c>
      <c r="CC21" s="4" t="str">
        <f ca="1">"+  " &amp; RANDBETWEEN(1,MAX(1,CC20-1)) &amp; "    "</f>
        <v xml:space="preserve">+  1    </v>
      </c>
      <c r="CE21" s="4" t="str">
        <f ca="1">"+  " &amp; RANDBETWEEN(1,MAX(1,CE20-1)) &amp; "    "</f>
        <v xml:space="preserve">+  20    </v>
      </c>
      <c r="CG21" s="4" t="str">
        <f ca="1">"+  " &amp; RANDBETWEEN(1,MAX(1,CG20-1)) &amp; "    "</f>
        <v xml:space="preserve">+  15    </v>
      </c>
      <c r="CI21" s="4" t="str">
        <f ca="1">"+  " &amp; RANDBETWEEN(1,MAX(1,CI20-1)) &amp; "    "</f>
        <v xml:space="preserve">+  8    </v>
      </c>
      <c r="CK21" s="4" t="str">
        <f ca="1">"+  " &amp; RANDBETWEEN(1,MAX(1,CK20-1)) &amp; "    "</f>
        <v xml:space="preserve">+  3    </v>
      </c>
      <c r="CM21" s="4" t="str">
        <f ca="1">"+  " &amp; RANDBETWEEN(1,MAX(1,CM20-1)) &amp; "    "</f>
        <v xml:space="preserve">+  5    </v>
      </c>
      <c r="CO21" s="4" t="str">
        <f ca="1">"+  " &amp; RANDBETWEEN(1,MAX(1,CO20-1)) &amp; "    "</f>
        <v xml:space="preserve">+  1    </v>
      </c>
      <c r="CQ21" s="4" t="str">
        <f ca="1">"+  " &amp; RANDBETWEEN(1,MAX(1,CQ20-1)) &amp; "    "</f>
        <v xml:space="preserve">+  9    </v>
      </c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17"/>
      <c r="DJ21" s="17"/>
      <c r="DK21" s="17"/>
      <c r="DL21" s="17"/>
      <c r="DM21" s="18"/>
      <c r="DN21" s="20"/>
      <c r="DO21" s="17"/>
      <c r="DP21" s="17"/>
      <c r="DQ21" s="17"/>
      <c r="DR21" s="18"/>
    </row>
    <row r="22" spans="1:127" ht="32.25" customHeight="1" x14ac:dyDescent="0.25"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17"/>
      <c r="DJ22" s="17"/>
      <c r="DK22" s="17"/>
      <c r="DL22" s="17"/>
      <c r="DM22" s="18"/>
      <c r="DN22" s="20"/>
      <c r="DO22" s="17"/>
      <c r="DP22" s="17"/>
      <c r="DQ22" s="17"/>
      <c r="DR22" s="18"/>
    </row>
    <row r="23" spans="1:127" ht="23.25" customHeight="1" thickBot="1" x14ac:dyDescent="0.3">
      <c r="A23" s="3">
        <f ca="1">RANDBETWEEN(1,9)</f>
        <v>6</v>
      </c>
      <c r="C23" s="3">
        <f ca="1">RANDBETWEEN(1,9)</f>
        <v>2</v>
      </c>
      <c r="E23" s="3">
        <f ca="1">RANDBETWEEN(1,9)</f>
        <v>5</v>
      </c>
      <c r="G23" s="3">
        <f ca="1">RANDBETWEEN(1,9)</f>
        <v>9</v>
      </c>
      <c r="I23" s="3">
        <f ca="1">RANDBETWEEN(1,9)</f>
        <v>7</v>
      </c>
      <c r="K23" s="3">
        <f ca="1">RANDBETWEEN(1,9)</f>
        <v>8</v>
      </c>
      <c r="M23" s="3">
        <f ca="1">RANDBETWEEN(1,9)</f>
        <v>9</v>
      </c>
      <c r="O23" s="3">
        <f ca="1">RANDBETWEEN(1,9)</f>
        <v>2</v>
      </c>
      <c r="Q23" s="3">
        <f ca="1">RANDBETWEEN(1,9)</f>
        <v>7</v>
      </c>
      <c r="S23" s="3">
        <f ca="1">RANDBETWEEN(1,9)</f>
        <v>6</v>
      </c>
      <c r="U23" s="3">
        <f ca="1">RANDBETWEEN(1,9)</f>
        <v>6</v>
      </c>
      <c r="W23" s="3">
        <f ca="1">RANDBETWEEN(1,9)</f>
        <v>4</v>
      </c>
      <c r="Y23" s="3">
        <f ca="1">IF(A51+RIGHT(SUBSTITUTE(A50," ",""),1)=0,RIGHT(SUBSTITUTE(A50," ",""),1),A51)</f>
        <v>18</v>
      </c>
      <c r="AA23" s="3">
        <f ca="1">IF(C51+RIGHT(SUBSTITUTE(C50," ",""),1)=0,RIGHT(SUBSTITUTE(C50," ",""),1),C51)</f>
        <v>2</v>
      </c>
      <c r="AC23" s="3">
        <f ca="1">IF(E51+RIGHT(SUBSTITUTE(E50," ",""),1)=0,RIGHT(SUBSTITUTE(E50," ",""),1),E51)</f>
        <v>20</v>
      </c>
      <c r="AE23" s="3">
        <f ca="1">IF(G51+RIGHT(SUBSTITUTE(G50," ",""),1)=0,RIGHT(SUBSTITUTE(G50," ",""),1),G51)</f>
        <v>72</v>
      </c>
      <c r="AG23" s="3">
        <f ca="1">IF(I51+RIGHT(SUBSTITUTE(I50," ",""),1)=0,RIGHT(SUBSTITUTE(I50," ",""),1),I51)</f>
        <v>42</v>
      </c>
      <c r="AI23" s="3">
        <f ca="1">IF(K51+RIGHT(SUBSTITUTE(K50," ",""),1)=0,RIGHT(SUBSTITUTE(K50," ",""),1),K51)</f>
        <v>24</v>
      </c>
      <c r="AK23" s="3">
        <f ca="1">IF(M51+RIGHT(SUBSTITUTE(M50," ",""),1)=0,RIGHT(SUBSTITUTE(M50," ",""),1),M51)</f>
        <v>54</v>
      </c>
      <c r="AM23" s="3">
        <f ca="1">IF(O51+RIGHT(SUBSTITUTE(O50," ",""),1)=0,RIGHT(SUBSTITUTE(O50," ",""),1),O51)</f>
        <v>10</v>
      </c>
      <c r="AO23" s="3">
        <f ca="1">IF(Q51+RIGHT(SUBSTITUTE(Q50," ",""),1)=0,RIGHT(SUBSTITUTE(Q50," ",""),1),Q51)</f>
        <v>28</v>
      </c>
      <c r="AQ23" s="3">
        <f ca="1">IF(S51+RIGHT(SUBSTITUTE(S50," ",""),1)=0,RIGHT(SUBSTITUTE(S50," ",""),1),S51)</f>
        <v>30</v>
      </c>
      <c r="AS23" s="3">
        <f ca="1">IF(U51+RIGHT(SUBSTITUTE(U50," ",""),1)=0,RIGHT(SUBSTITUTE(U50," ",""),1),U51)</f>
        <v>54</v>
      </c>
      <c r="AU23" s="3">
        <f ca="1">IF(W51+RIGHT(SUBSTITUTE(W50," ",""),1)=0,RIGHT(SUBSTITUTE(W50," ",""),1),W51)</f>
        <v>24</v>
      </c>
      <c r="AW23" s="3">
        <f ca="1">RANDBETWEEN(5,30)</f>
        <v>6</v>
      </c>
      <c r="AY23" s="3">
        <f ca="1">RANDBETWEEN(5,30)</f>
        <v>26</v>
      </c>
      <c r="BA23" s="3">
        <f ca="1">RANDBETWEEN(5,30)</f>
        <v>30</v>
      </c>
      <c r="BC23" s="3">
        <f ca="1">RANDBETWEEN(5,30)</f>
        <v>27</v>
      </c>
      <c r="BE23" s="3">
        <f ca="1">RANDBETWEEN(5,30)</f>
        <v>30</v>
      </c>
      <c r="BG23" s="3">
        <f ca="1">RANDBETWEEN(5,30)</f>
        <v>30</v>
      </c>
      <c r="BI23" s="3">
        <f ca="1">RANDBETWEEN(5,30)</f>
        <v>16</v>
      </c>
      <c r="BK23" s="3">
        <f ca="1">RANDBETWEEN(5,30)</f>
        <v>18</v>
      </c>
      <c r="BM23" s="3">
        <f ca="1">RANDBETWEEN(5,30)</f>
        <v>19</v>
      </c>
      <c r="BO23" s="3">
        <f ca="1">RANDBETWEEN(5,30)</f>
        <v>9</v>
      </c>
      <c r="BQ23" s="3">
        <f ca="1">RANDBETWEEN(5,30)</f>
        <v>22</v>
      </c>
      <c r="BS23" s="3">
        <f ca="1">RANDBETWEEN(5,30)</f>
        <v>16</v>
      </c>
      <c r="BU23" s="3">
        <f ca="1">RANDBETWEEN(5,30)</f>
        <v>27</v>
      </c>
      <c r="BW23" s="3">
        <f ca="1">RANDBETWEEN(5,30)</f>
        <v>26</v>
      </c>
      <c r="BY23" s="3">
        <f ca="1">RANDBETWEEN(5,30)</f>
        <v>18</v>
      </c>
      <c r="CA23" s="3">
        <f ca="1">RANDBETWEEN(5,30)</f>
        <v>23</v>
      </c>
      <c r="CC23" s="3">
        <f ca="1">RANDBETWEEN(5,30)</f>
        <v>30</v>
      </c>
      <c r="CE23" s="3">
        <f ca="1">RANDBETWEEN(5,30)</f>
        <v>16</v>
      </c>
      <c r="CG23" s="3">
        <f ca="1">RANDBETWEEN(5,30)</f>
        <v>20</v>
      </c>
      <c r="CI23" s="3">
        <f ca="1">RANDBETWEEN(5,30)</f>
        <v>17</v>
      </c>
      <c r="CK23" s="3">
        <f ca="1">RANDBETWEEN(5,30)</f>
        <v>27</v>
      </c>
      <c r="CM23" s="3">
        <f ca="1">RANDBETWEEN(5,30)</f>
        <v>5</v>
      </c>
      <c r="CO23" s="3">
        <f ca="1">RANDBETWEEN(5,30)</f>
        <v>19</v>
      </c>
      <c r="CQ23" s="3">
        <f ca="1">RANDBETWEEN(5,30)</f>
        <v>10</v>
      </c>
      <c r="CS23" s="9" t="s">
        <v>4</v>
      </c>
      <c r="CT23" s="9"/>
      <c r="CU23" s="11">
        <f ca="1">MROUND(RAND(),1/(24*60))</f>
        <v>0.40763888888888888</v>
      </c>
      <c r="CV23" s="11"/>
      <c r="CW23" s="9" t="s">
        <v>3</v>
      </c>
      <c r="CX23" s="9"/>
      <c r="CY23" s="11">
        <f ca="1">MROUND(CU23+RAND()*(1-CU23),1/(24*60))</f>
        <v>0.44930555555555557</v>
      </c>
      <c r="CZ23" s="11"/>
      <c r="DA23" s="12" t="s">
        <v>5</v>
      </c>
      <c r="DB23" s="12"/>
      <c r="DC23" s="12"/>
      <c r="DD23" s="7" t="s">
        <v>6</v>
      </c>
      <c r="DE23" s="7"/>
      <c r="DF23" s="8" t="s">
        <v>7</v>
      </c>
      <c r="DG23" s="7"/>
      <c r="DH23" s="7"/>
      <c r="DI23" s="17"/>
      <c r="DJ23" s="17"/>
      <c r="DK23" s="17"/>
      <c r="DL23" s="17"/>
      <c r="DM23" s="18"/>
      <c r="DN23" s="20"/>
      <c r="DO23" s="17"/>
      <c r="DP23" s="17"/>
      <c r="DQ23" s="17"/>
      <c r="DR23" s="18"/>
    </row>
    <row r="24" spans="1:127" ht="23.25" customHeight="1" thickBot="1" x14ac:dyDescent="0.3">
      <c r="A24" s="4" t="str">
        <f ca="1">"x  " &amp; RANDBETWEEN(0,9) &amp; "    "</f>
        <v xml:space="preserve">x  3    </v>
      </c>
      <c r="C24" s="4" t="str">
        <f ca="1">"x  " &amp; RANDBETWEEN(0,9) &amp; "    "</f>
        <v xml:space="preserve">x  1    </v>
      </c>
      <c r="E24" s="4" t="str">
        <f ca="1">"x  " &amp; RANDBETWEEN(0,9) &amp; "    "</f>
        <v xml:space="preserve">x  4    </v>
      </c>
      <c r="G24" s="4" t="str">
        <f ca="1">"x  " &amp; RANDBETWEEN(0,9) &amp; "    "</f>
        <v xml:space="preserve">x  8    </v>
      </c>
      <c r="I24" s="4" t="str">
        <f ca="1">"x  " &amp; RANDBETWEEN(0,9) &amp; "    "</f>
        <v xml:space="preserve">x  6    </v>
      </c>
      <c r="K24" s="4" t="str">
        <f ca="1">"x  " &amp; RANDBETWEEN(0,9) &amp; "    "</f>
        <v xml:space="preserve">x  3    </v>
      </c>
      <c r="M24" s="4" t="str">
        <f ca="1">"x  " &amp; RANDBETWEEN(0,9) &amp; "    "</f>
        <v xml:space="preserve">x  6    </v>
      </c>
      <c r="O24" s="4" t="str">
        <f ca="1">"x  " &amp; RANDBETWEEN(0,9) &amp; "    "</f>
        <v xml:space="preserve">x  5    </v>
      </c>
      <c r="Q24" s="4" t="str">
        <f ca="1">"x  " &amp; RANDBETWEEN(0,9) &amp; "    "</f>
        <v xml:space="preserve">x  4    </v>
      </c>
      <c r="S24" s="4" t="str">
        <f ca="1">"x  " &amp; RANDBETWEEN(0,9) &amp; "    "</f>
        <v xml:space="preserve">x  5    </v>
      </c>
      <c r="U24" s="4" t="str">
        <f ca="1">"x  " &amp; RANDBETWEEN(0,9) &amp; "    "</f>
        <v xml:space="preserve">x  9    </v>
      </c>
      <c r="W24" s="4" t="str">
        <f ca="1">"x  " &amp; RANDBETWEEN(0,9) &amp; "    "</f>
        <v xml:space="preserve">x  6    </v>
      </c>
      <c r="Y24" s="4" t="str">
        <f ca="1">"÷  " &amp; IF(A51+RIGHT(SUBSTITUTE(A50," ",""),1)=0,A49,IF(RANDBETWEEN(1,2)=1,RIGHT(SUBSTITUTE(A50," ",""),1),A49)) &amp; "    "</f>
        <v xml:space="preserve">÷  6    </v>
      </c>
      <c r="AA24" s="4" t="str">
        <f ca="1">"÷  " &amp; IF(C51+RIGHT(SUBSTITUTE(C50," ",""),1)=0,C49,IF(RANDBETWEEN(1,2)=1,RIGHT(SUBSTITUTE(C50," ",""),1),C49)) &amp; "    "</f>
        <v xml:space="preserve">÷  1    </v>
      </c>
      <c r="AC24" s="4" t="str">
        <f ca="1">"÷  " &amp; IF(E51+RIGHT(SUBSTITUTE(E50," ",""),1)=0,E49,IF(RANDBETWEEN(1,2)=1,RIGHT(SUBSTITUTE(E50," ",""),1),E49)) &amp; "    "</f>
        <v xml:space="preserve">÷  5    </v>
      </c>
      <c r="AE24" s="4" t="str">
        <f ca="1">"÷  " &amp; IF(G51+RIGHT(SUBSTITUTE(G50," ",""),1)=0,G49,IF(RANDBETWEEN(1,2)=1,RIGHT(SUBSTITUTE(G50," ",""),1),G49)) &amp; "    "</f>
        <v xml:space="preserve">÷  8    </v>
      </c>
      <c r="AG24" s="4" t="str">
        <f ca="1">"÷  " &amp; IF(I51+RIGHT(SUBSTITUTE(I50," ",""),1)=0,I49,IF(RANDBETWEEN(1,2)=1,RIGHT(SUBSTITUTE(I50," ",""),1),I49)) &amp; "    "</f>
        <v xml:space="preserve">÷  6    </v>
      </c>
      <c r="AI24" s="4" t="str">
        <f ca="1">"÷  " &amp; IF(K51+RIGHT(SUBSTITUTE(K50," ",""),1)=0,K49,IF(RANDBETWEEN(1,2)=1,RIGHT(SUBSTITUTE(K50," ",""),1),K49)) &amp; "    "</f>
        <v xml:space="preserve">÷  3    </v>
      </c>
      <c r="AK24" s="4" t="str">
        <f ca="1">"÷  " &amp; IF(M51+RIGHT(SUBSTITUTE(M50," ",""),1)=0,M49,IF(RANDBETWEEN(1,2)=1,RIGHT(SUBSTITUTE(M50," ",""),1),M49)) &amp; "    "</f>
        <v xml:space="preserve">÷  6    </v>
      </c>
      <c r="AM24" s="4" t="str">
        <f ca="1">"÷  " &amp; IF(O51+RIGHT(SUBSTITUTE(O50," ",""),1)=0,O49,IF(RANDBETWEEN(1,2)=1,RIGHT(SUBSTITUTE(O50," ",""),1),O49)) &amp; "    "</f>
        <v xml:space="preserve">÷  2    </v>
      </c>
      <c r="AO24" s="4" t="str">
        <f ca="1">"÷  " &amp; IF(Q51+RIGHT(SUBSTITUTE(Q50," ",""),1)=0,Q49,IF(RANDBETWEEN(1,2)=1,RIGHT(SUBSTITUTE(Q50," ",""),1),Q49)) &amp; "    "</f>
        <v xml:space="preserve">÷  7    </v>
      </c>
      <c r="AQ24" s="4" t="str">
        <f ca="1">"÷  " &amp; IF(S51+RIGHT(SUBSTITUTE(S50," ",""),1)=0,S49,IF(RANDBETWEEN(1,2)=1,RIGHT(SUBSTITUTE(S50," ",""),1),S49)) &amp; "    "</f>
        <v xml:space="preserve">÷  6    </v>
      </c>
      <c r="AS24" s="4" t="str">
        <f ca="1">"÷  " &amp; IF(U51+RIGHT(SUBSTITUTE(U50," ",""),1)=0,U49,IF(RANDBETWEEN(1,2)=1,RIGHT(SUBSTITUTE(U50," ",""),1),U49)) &amp; "    "</f>
        <v xml:space="preserve">÷  9    </v>
      </c>
      <c r="AU24" s="4" t="str">
        <f ca="1">"÷  " &amp; IF(W51+RIGHT(SUBSTITUTE(W50," ",""),1)=0,W49,IF(RANDBETWEEN(1,2)=1,RIGHT(SUBSTITUTE(W50," ",""),1),W49)) &amp; "    "</f>
        <v xml:space="preserve">÷  4    </v>
      </c>
      <c r="AW24" s="4" t="str">
        <f ca="1">"-  " &amp; RANDBETWEEN(1,MAX(1,AW23-1)) &amp; "    "</f>
        <v xml:space="preserve">-  3    </v>
      </c>
      <c r="AY24" s="4" t="str">
        <f ca="1">"-  " &amp; RANDBETWEEN(1,MAX(1,AY23-1)) &amp; "    "</f>
        <v xml:space="preserve">-  17    </v>
      </c>
      <c r="BA24" s="4" t="str">
        <f ca="1">"-  " &amp; RANDBETWEEN(1,MAX(1,BA23-1)) &amp; "    "</f>
        <v xml:space="preserve">-  4    </v>
      </c>
      <c r="BC24" s="4" t="str">
        <f ca="1">"-  " &amp; RANDBETWEEN(1,MAX(1,BC23-1)) &amp; "    "</f>
        <v xml:space="preserve">-  4    </v>
      </c>
      <c r="BE24" s="4" t="str">
        <f ca="1">"-  " &amp; RANDBETWEEN(1,MAX(1,BE23-1)) &amp; "    "</f>
        <v xml:space="preserve">-  5    </v>
      </c>
      <c r="BG24" s="4" t="str">
        <f ca="1">"-  " &amp; RANDBETWEEN(1,MAX(1,BG23-1)) &amp; "    "</f>
        <v xml:space="preserve">-  13    </v>
      </c>
      <c r="BI24" s="4" t="str">
        <f ca="1">"-  " &amp; RANDBETWEEN(1,MAX(1,BI23-1)) &amp; "    "</f>
        <v xml:space="preserve">-  8    </v>
      </c>
      <c r="BK24" s="4" t="str">
        <f ca="1">"-  " &amp; RANDBETWEEN(1,MAX(1,BK23-1)) &amp; "    "</f>
        <v xml:space="preserve">-  15    </v>
      </c>
      <c r="BM24" s="4" t="str">
        <f ca="1">"-  " &amp; RANDBETWEEN(1,MAX(1,BM23-1)) &amp; "    "</f>
        <v xml:space="preserve">-  1    </v>
      </c>
      <c r="BO24" s="4" t="str">
        <f ca="1">"-  " &amp; RANDBETWEEN(1,MAX(1,BO23-1)) &amp; "    "</f>
        <v xml:space="preserve">-  5    </v>
      </c>
      <c r="BQ24" s="4" t="str">
        <f ca="1">"-  " &amp; RANDBETWEEN(1,MAX(1,BQ23-1)) &amp; "    "</f>
        <v xml:space="preserve">-  19    </v>
      </c>
      <c r="BS24" s="4" t="str">
        <f ca="1">"-  " &amp; RANDBETWEEN(1,MAX(1,BS23-1)) &amp; "    "</f>
        <v xml:space="preserve">-  12    </v>
      </c>
      <c r="BU24" s="4" t="str">
        <f ca="1">"+  " &amp; RANDBETWEEN(1,MAX(1,BU23-1)) &amp; "    "</f>
        <v xml:space="preserve">+  3    </v>
      </c>
      <c r="BW24" s="4" t="str">
        <f ca="1">"+  " &amp; RANDBETWEEN(1,MAX(1,BW23-1)) &amp; "    "</f>
        <v xml:space="preserve">+  1    </v>
      </c>
      <c r="BY24" s="4" t="str">
        <f ca="1">"+  " &amp; RANDBETWEEN(1,MAX(1,BY23-1)) &amp; "    "</f>
        <v xml:space="preserve">+  7    </v>
      </c>
      <c r="CA24" s="4" t="str">
        <f ca="1">"+  " &amp; RANDBETWEEN(1,MAX(1,CA23-1)) &amp; "    "</f>
        <v xml:space="preserve">+  22    </v>
      </c>
      <c r="CC24" s="4" t="str">
        <f ca="1">"+  " &amp; RANDBETWEEN(1,MAX(1,CC23-1)) &amp; "    "</f>
        <v xml:space="preserve">+  18    </v>
      </c>
      <c r="CE24" s="4" t="str">
        <f ca="1">"+  " &amp; RANDBETWEEN(1,MAX(1,CE23-1)) &amp; "    "</f>
        <v xml:space="preserve">+  3    </v>
      </c>
      <c r="CG24" s="4" t="str">
        <f ca="1">"+  " &amp; RANDBETWEEN(1,MAX(1,CG23-1)) &amp; "    "</f>
        <v xml:space="preserve">+  6    </v>
      </c>
      <c r="CI24" s="4" t="str">
        <f ca="1">"+  " &amp; RANDBETWEEN(1,MAX(1,CI23-1)) &amp; "    "</f>
        <v xml:space="preserve">+  14    </v>
      </c>
      <c r="CK24" s="4" t="str">
        <f ca="1">"+  " &amp; RANDBETWEEN(1,MAX(1,CK23-1)) &amp; "    "</f>
        <v xml:space="preserve">+  26    </v>
      </c>
      <c r="CM24" s="4" t="str">
        <f ca="1">"+  " &amp; RANDBETWEEN(1,MAX(1,CM23-1)) &amp; "    "</f>
        <v xml:space="preserve">+  2    </v>
      </c>
      <c r="CO24" s="4" t="str">
        <f ca="1">"+  " &amp; RANDBETWEEN(1,MAX(1,CO23-1)) &amp; "    "</f>
        <v xml:space="preserve">+  11    </v>
      </c>
      <c r="CQ24" s="4" t="str">
        <f ca="1">"+  " &amp; RANDBETWEEN(1,MAX(1,CQ23-1)) &amp; "    "</f>
        <v xml:space="preserve">+  7    </v>
      </c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16" t="s">
        <v>11</v>
      </c>
      <c r="DJ24" s="16"/>
      <c r="DK24" s="16"/>
      <c r="DL24" s="16"/>
      <c r="DM24" s="19"/>
      <c r="DN24" s="21" t="s">
        <v>11</v>
      </c>
      <c r="DO24" s="16"/>
      <c r="DP24" s="16"/>
      <c r="DQ24" s="16"/>
      <c r="DR24" s="19"/>
      <c r="DS24" s="16" t="s">
        <v>11</v>
      </c>
      <c r="DT24" s="16"/>
      <c r="DU24" s="16"/>
      <c r="DV24" s="16"/>
      <c r="DW24" s="16"/>
    </row>
    <row r="25" spans="1:127" ht="32.25" customHeight="1" x14ac:dyDescent="0.25"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16"/>
      <c r="DJ25" s="16"/>
      <c r="DK25" s="16"/>
      <c r="DL25" s="16"/>
      <c r="DM25" s="19"/>
      <c r="DN25" s="21"/>
      <c r="DO25" s="16"/>
      <c r="DP25" s="16"/>
      <c r="DQ25" s="16"/>
      <c r="DR25" s="19"/>
      <c r="DS25" s="16"/>
      <c r="DT25" s="16"/>
      <c r="DU25" s="16"/>
      <c r="DV25" s="16"/>
      <c r="DW25" s="16"/>
    </row>
    <row r="26" spans="1:127" ht="23.25" customHeight="1" x14ac:dyDescent="0.25">
      <c r="A26" s="3"/>
      <c r="C26" s="3"/>
      <c r="E26" s="3"/>
      <c r="G26" s="3"/>
      <c r="I26" s="3"/>
      <c r="K26" s="3"/>
      <c r="M26" s="3"/>
      <c r="O26" s="3"/>
      <c r="Q26" s="3"/>
      <c r="S26" s="3"/>
      <c r="U26" s="3"/>
      <c r="W26" s="3"/>
      <c r="Y26" s="3"/>
      <c r="AA26" s="2"/>
      <c r="AC26" s="2"/>
      <c r="AE26" s="2"/>
      <c r="AG26" s="2"/>
      <c r="AI26" s="2"/>
      <c r="AK26" s="2"/>
      <c r="AM26" s="2"/>
      <c r="AO26" s="2"/>
      <c r="AQ26" s="2"/>
      <c r="AS26" s="2"/>
      <c r="AU26" s="2"/>
      <c r="AW26" s="3"/>
      <c r="AY26" s="3"/>
      <c r="BA26" s="3"/>
      <c r="BC26" s="3"/>
      <c r="BE26" s="3"/>
      <c r="BG26" s="3"/>
      <c r="BI26" s="3"/>
      <c r="BK26" s="3"/>
      <c r="BM26" s="3"/>
      <c r="BO26" s="3"/>
      <c r="BQ26" s="3"/>
      <c r="BS26" s="3"/>
      <c r="BU26" s="3"/>
      <c r="BW26" s="3"/>
      <c r="BY26" s="3"/>
      <c r="CA26" s="3"/>
      <c r="CC26" s="3"/>
      <c r="CE26" s="3"/>
      <c r="CG26" s="3"/>
      <c r="CI26" s="3"/>
      <c r="CK26" s="3"/>
      <c r="CM26" s="3"/>
      <c r="CO26" s="3"/>
      <c r="CQ26" s="3"/>
    </row>
    <row r="27" spans="1:127" ht="19.5" customHeight="1" x14ac:dyDescent="0.35">
      <c r="A27" s="10" t="s">
        <v>0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 t="s">
        <v>1</v>
      </c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 t="s">
        <v>8</v>
      </c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 t="s">
        <v>9</v>
      </c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4" t="s">
        <v>2</v>
      </c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 t="s">
        <v>10</v>
      </c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</row>
    <row r="28" spans="1:127" ht="23.25" customHeight="1" thickBot="1" x14ac:dyDescent="0.3">
      <c r="A28" s="3">
        <f ca="1">A2</f>
        <v>8</v>
      </c>
      <c r="C28" s="3">
        <f ca="1">C2</f>
        <v>1</v>
      </c>
      <c r="E28" s="3">
        <f ca="1">E2</f>
        <v>4</v>
      </c>
      <c r="G28" s="3">
        <f ca="1">G2</f>
        <v>5</v>
      </c>
      <c r="I28" s="3">
        <f ca="1">I2</f>
        <v>5</v>
      </c>
      <c r="K28" s="3">
        <f ca="1">K2</f>
        <v>1</v>
      </c>
      <c r="M28" s="3">
        <f ca="1">M2</f>
        <v>7</v>
      </c>
      <c r="O28" s="3">
        <f ca="1">O2</f>
        <v>9</v>
      </c>
      <c r="Q28" s="3">
        <f ca="1">Q2</f>
        <v>4</v>
      </c>
      <c r="S28" s="3">
        <f ca="1">S2</f>
        <v>7</v>
      </c>
      <c r="U28" s="3">
        <f ca="1">U2</f>
        <v>1</v>
      </c>
      <c r="W28" s="3">
        <f ca="1">W2</f>
        <v>4</v>
      </c>
      <c r="Y28" s="3">
        <f ca="1">Y2</f>
        <v>8</v>
      </c>
      <c r="AA28" s="3">
        <f ca="1">AA2</f>
        <v>4</v>
      </c>
      <c r="AC28" s="3">
        <f ca="1">AC2</f>
        <v>16</v>
      </c>
      <c r="AE28" s="3">
        <f ca="1">AE2</f>
        <v>25</v>
      </c>
      <c r="AG28" s="3">
        <f ca="1">AG2</f>
        <v>10</v>
      </c>
      <c r="AI28" s="3">
        <f ca="1">AI2</f>
        <v>8</v>
      </c>
      <c r="AK28" s="3">
        <f ca="1">AK2</f>
        <v>49</v>
      </c>
      <c r="AM28" s="3">
        <f ca="1">AM2</f>
        <v>81</v>
      </c>
      <c r="AO28" s="3">
        <f ca="1">AO2</f>
        <v>4</v>
      </c>
      <c r="AQ28" s="3">
        <f ca="1">AQ2</f>
        <v>63</v>
      </c>
      <c r="AS28" s="3">
        <f ca="1">AS2</f>
        <v>8</v>
      </c>
      <c r="AU28" s="3">
        <f ca="1">AU2</f>
        <v>12</v>
      </c>
      <c r="AW28" s="3">
        <f ca="1">AW2</f>
        <v>5</v>
      </c>
      <c r="AY28" s="3">
        <f ca="1">AY2</f>
        <v>14</v>
      </c>
      <c r="BA28" s="3">
        <f ca="1">BA2</f>
        <v>11</v>
      </c>
      <c r="BC28" s="3">
        <f ca="1">BC2</f>
        <v>28</v>
      </c>
      <c r="BE28" s="3">
        <f ca="1">BE2</f>
        <v>30</v>
      </c>
      <c r="BG28" s="3">
        <f ca="1">BG2</f>
        <v>10</v>
      </c>
      <c r="BI28" s="3">
        <f ca="1">BI2</f>
        <v>23</v>
      </c>
      <c r="BK28" s="3">
        <f ca="1">BK2</f>
        <v>12</v>
      </c>
      <c r="BM28" s="3">
        <f ca="1">BM2</f>
        <v>11</v>
      </c>
      <c r="BO28" s="3">
        <f ca="1">BO2</f>
        <v>28</v>
      </c>
      <c r="BQ28" s="3">
        <f ca="1">BQ2</f>
        <v>14</v>
      </c>
      <c r="BS28" s="3">
        <f ca="1">BS2</f>
        <v>9</v>
      </c>
      <c r="BU28" s="3">
        <f ca="1">BU2</f>
        <v>5</v>
      </c>
      <c r="BW28" s="3">
        <f ca="1">BW2</f>
        <v>19</v>
      </c>
      <c r="BY28" s="3">
        <f ca="1">BY2</f>
        <v>20</v>
      </c>
      <c r="CA28" s="3">
        <f ca="1">CA2</f>
        <v>19</v>
      </c>
      <c r="CC28" s="3">
        <f ca="1">CC2</f>
        <v>10</v>
      </c>
      <c r="CE28" s="3">
        <f ca="1">CE2</f>
        <v>20</v>
      </c>
      <c r="CG28" s="3">
        <f ca="1">CG2</f>
        <v>19</v>
      </c>
      <c r="CI28" s="3">
        <f ca="1">CI2</f>
        <v>25</v>
      </c>
      <c r="CK28" s="3">
        <f ca="1">CK2</f>
        <v>11</v>
      </c>
      <c r="CM28" s="3">
        <f ca="1">CM2</f>
        <v>10</v>
      </c>
      <c r="CO28" s="3">
        <f ca="1">CO2</f>
        <v>16</v>
      </c>
      <c r="CQ28" s="3">
        <f ca="1">CQ2</f>
        <v>7</v>
      </c>
      <c r="CS28" s="9" t="s">
        <v>4</v>
      </c>
      <c r="CT28" s="9"/>
      <c r="CU28" s="11">
        <f ca="1">CU2</f>
        <v>1</v>
      </c>
      <c r="CV28" s="11"/>
      <c r="CW28" s="9" t="s">
        <v>3</v>
      </c>
      <c r="CX28" s="9"/>
      <c r="CY28" s="11">
        <f ca="1">CY2</f>
        <v>1.0416666666666667</v>
      </c>
      <c r="CZ28" s="11"/>
      <c r="DA28" s="12" t="s">
        <v>5</v>
      </c>
      <c r="DB28" s="12"/>
      <c r="DC28" s="12"/>
      <c r="DD28" s="13">
        <f ca="1">CY28-CU28</f>
        <v>4.1666666666666741E-2</v>
      </c>
      <c r="DE28" s="13"/>
      <c r="DF28" s="13"/>
      <c r="DG28" s="13"/>
      <c r="DH28" s="13"/>
    </row>
    <row r="29" spans="1:127" ht="23.25" customHeight="1" thickBot="1" x14ac:dyDescent="0.3">
      <c r="A29" s="4" t="str">
        <f ca="1">A3</f>
        <v xml:space="preserve">x  1    </v>
      </c>
      <c r="C29" s="4" t="str">
        <f ca="1">C3</f>
        <v xml:space="preserve">x  4    </v>
      </c>
      <c r="E29" s="4" t="str">
        <f ca="1">E3</f>
        <v xml:space="preserve">x  4    </v>
      </c>
      <c r="G29" s="4" t="str">
        <f ca="1">G3</f>
        <v xml:space="preserve">x  5    </v>
      </c>
      <c r="I29" s="4" t="str">
        <f ca="1">I3</f>
        <v xml:space="preserve">x  2    </v>
      </c>
      <c r="K29" s="4" t="str">
        <f ca="1">K3</f>
        <v xml:space="preserve">x  8    </v>
      </c>
      <c r="M29" s="4" t="str">
        <f ca="1">M3</f>
        <v xml:space="preserve">x  7    </v>
      </c>
      <c r="O29" s="4" t="str">
        <f ca="1">O3</f>
        <v xml:space="preserve">x  9    </v>
      </c>
      <c r="Q29" s="4" t="str">
        <f ca="1">Q3</f>
        <v xml:space="preserve">x  1    </v>
      </c>
      <c r="S29" s="4" t="str">
        <f ca="1">S3</f>
        <v xml:space="preserve">x  9    </v>
      </c>
      <c r="U29" s="4" t="str">
        <f ca="1">U3</f>
        <v xml:space="preserve">x  8    </v>
      </c>
      <c r="W29" s="4" t="str">
        <f ca="1">W3</f>
        <v xml:space="preserve">x  3    </v>
      </c>
      <c r="Y29" s="4" t="str">
        <f ca="1">Y3</f>
        <v xml:space="preserve">÷  1    </v>
      </c>
      <c r="AA29" s="4" t="str">
        <f ca="1">AA3</f>
        <v xml:space="preserve">÷  4    </v>
      </c>
      <c r="AC29" s="4" t="str">
        <f ca="1">AC3</f>
        <v xml:space="preserve">÷  4    </v>
      </c>
      <c r="AE29" s="4" t="str">
        <f ca="1">AE3</f>
        <v xml:space="preserve">÷  5    </v>
      </c>
      <c r="AG29" s="4" t="str">
        <f ca="1">AG3</f>
        <v xml:space="preserve">÷  2    </v>
      </c>
      <c r="AI29" s="4" t="str">
        <f ca="1">AI3</f>
        <v xml:space="preserve">÷  8    </v>
      </c>
      <c r="AK29" s="4" t="str">
        <f ca="1">AK3</f>
        <v xml:space="preserve">÷  7    </v>
      </c>
      <c r="AM29" s="4" t="str">
        <f ca="1">AM3</f>
        <v xml:space="preserve">÷  9    </v>
      </c>
      <c r="AO29" s="4" t="str">
        <f ca="1">AO3</f>
        <v xml:space="preserve">÷  1    </v>
      </c>
      <c r="AQ29" s="4" t="str">
        <f ca="1">AQ3</f>
        <v xml:space="preserve">÷  7    </v>
      </c>
      <c r="AS29" s="4" t="str">
        <f ca="1">AS3</f>
        <v xml:space="preserve">÷  1    </v>
      </c>
      <c r="AU29" s="4" t="str">
        <f ca="1">AU3</f>
        <v xml:space="preserve">÷  3    </v>
      </c>
      <c r="AW29" s="4" t="str">
        <f ca="1">AW3</f>
        <v xml:space="preserve">-  4    </v>
      </c>
      <c r="AY29" s="4" t="str">
        <f ca="1">AY3</f>
        <v xml:space="preserve">-  1    </v>
      </c>
      <c r="BA29" s="4" t="str">
        <f ca="1">BA3</f>
        <v xml:space="preserve">-  8    </v>
      </c>
      <c r="BC29" s="4" t="str">
        <f ca="1">BC3</f>
        <v xml:space="preserve">-  18    </v>
      </c>
      <c r="BE29" s="4" t="str">
        <f ca="1">BE3</f>
        <v xml:space="preserve">-  4    </v>
      </c>
      <c r="BG29" s="4" t="str">
        <f ca="1">BG3</f>
        <v xml:space="preserve">-  3    </v>
      </c>
      <c r="BI29" s="4" t="str">
        <f ca="1">BI3</f>
        <v xml:space="preserve">-  18    </v>
      </c>
      <c r="BK29" s="4" t="str">
        <f ca="1">BK3</f>
        <v xml:space="preserve">-  2    </v>
      </c>
      <c r="BM29" s="4" t="str">
        <f ca="1">BM3</f>
        <v xml:space="preserve">-  2    </v>
      </c>
      <c r="BO29" s="4" t="str">
        <f ca="1">BO3</f>
        <v xml:space="preserve">-  7    </v>
      </c>
      <c r="BQ29" s="4" t="str">
        <f ca="1">BQ3</f>
        <v xml:space="preserve">-  3    </v>
      </c>
      <c r="BS29" s="4" t="str">
        <f ca="1">BS3</f>
        <v xml:space="preserve">-  5    </v>
      </c>
      <c r="BU29" s="4" t="str">
        <f ca="1">BU3</f>
        <v xml:space="preserve">+  1    </v>
      </c>
      <c r="BW29" s="4" t="str">
        <f ca="1">BW3</f>
        <v xml:space="preserve">+  5    </v>
      </c>
      <c r="BY29" s="4" t="str">
        <f ca="1">BY3</f>
        <v xml:space="preserve">+  18    </v>
      </c>
      <c r="CA29" s="4" t="str">
        <f ca="1">CA3</f>
        <v xml:space="preserve">+  11    </v>
      </c>
      <c r="CC29" s="4" t="str">
        <f ca="1">CC3</f>
        <v xml:space="preserve">+  4    </v>
      </c>
      <c r="CE29" s="4" t="str">
        <f ca="1">CE3</f>
        <v xml:space="preserve">+  10    </v>
      </c>
      <c r="CG29" s="4" t="str">
        <f ca="1">CG3</f>
        <v xml:space="preserve">+  12    </v>
      </c>
      <c r="CI29" s="4" t="str">
        <f ca="1">CI3</f>
        <v xml:space="preserve">+  2    </v>
      </c>
      <c r="CK29" s="4" t="str">
        <f ca="1">CK3</f>
        <v xml:space="preserve">+  8    </v>
      </c>
      <c r="CM29" s="4" t="str">
        <f ca="1">CM3</f>
        <v xml:space="preserve">+  2    </v>
      </c>
      <c r="CO29" s="4" t="str">
        <f ca="1">CO3</f>
        <v xml:space="preserve">+  5    </v>
      </c>
      <c r="CQ29" s="4" t="str">
        <f ca="1">CQ3</f>
        <v xml:space="preserve">+  5    </v>
      </c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</row>
    <row r="30" spans="1:127" ht="32.25" customHeight="1" x14ac:dyDescent="0.25">
      <c r="A30" s="6">
        <f ca="1">A28*RIGHT(SUBSTITUTE(A29," ",""),1)</f>
        <v>8</v>
      </c>
      <c r="B30" s="6"/>
      <c r="C30" s="6">
        <f ca="1">C28*RIGHT(SUBSTITUTE(C29," ",""),1)</f>
        <v>4</v>
      </c>
      <c r="D30" s="6"/>
      <c r="E30" s="6">
        <f ca="1">E28*RIGHT(SUBSTITUTE(E29," ",""),1)</f>
        <v>16</v>
      </c>
      <c r="F30" s="6"/>
      <c r="G30" s="6">
        <f ca="1">G28*RIGHT(SUBSTITUTE(G29," ",""),1)</f>
        <v>25</v>
      </c>
      <c r="H30" s="6"/>
      <c r="I30" s="6">
        <f ca="1">I28*RIGHT(SUBSTITUTE(I29," ",""),1)</f>
        <v>10</v>
      </c>
      <c r="J30" s="6"/>
      <c r="K30" s="6">
        <f ca="1">K28*RIGHT(SUBSTITUTE(K29," ",""),1)</f>
        <v>8</v>
      </c>
      <c r="L30" s="6"/>
      <c r="M30" s="6">
        <f ca="1">M28*RIGHT(SUBSTITUTE(M29," ",""),1)</f>
        <v>49</v>
      </c>
      <c r="N30" s="6"/>
      <c r="O30" s="6">
        <f ca="1">O28*RIGHT(SUBSTITUTE(O29," ",""),1)</f>
        <v>81</v>
      </c>
      <c r="P30" s="6"/>
      <c r="Q30" s="6">
        <f ca="1">Q28*RIGHT(SUBSTITUTE(Q29," ",""),1)</f>
        <v>4</v>
      </c>
      <c r="R30" s="6"/>
      <c r="S30" s="6">
        <f ca="1">S28*RIGHT(SUBSTITUTE(S29," ",""),1)</f>
        <v>63</v>
      </c>
      <c r="T30" s="6"/>
      <c r="U30" s="6">
        <f ca="1">U28*RIGHT(SUBSTITUTE(U29," ",""),1)</f>
        <v>8</v>
      </c>
      <c r="V30" s="6"/>
      <c r="W30" s="6">
        <f ca="1">W28*RIGHT(SUBSTITUTE(W29," ",""),1)</f>
        <v>12</v>
      </c>
      <c r="X30" s="5"/>
      <c r="Y30" s="6">
        <f ca="1">Y28/RIGHT(SUBSTITUTE(Y29," ",""),1)</f>
        <v>8</v>
      </c>
      <c r="Z30" s="6"/>
      <c r="AA30" s="6">
        <f ca="1">AA28/RIGHT(SUBSTITUTE(AA29," ",""),1)</f>
        <v>1</v>
      </c>
      <c r="AB30" s="6"/>
      <c r="AC30" s="6">
        <f ca="1">AC28/RIGHT(SUBSTITUTE(AC29," ",""),1)</f>
        <v>4</v>
      </c>
      <c r="AD30" s="6"/>
      <c r="AE30" s="6">
        <f ca="1">AE28/RIGHT(SUBSTITUTE(AE29," ",""),1)</f>
        <v>5</v>
      </c>
      <c r="AF30" s="6"/>
      <c r="AG30" s="6">
        <f ca="1">AG28/RIGHT(SUBSTITUTE(AG29," ",""),1)</f>
        <v>5</v>
      </c>
      <c r="AH30" s="6"/>
      <c r="AI30" s="6">
        <f ca="1">AI28/RIGHT(SUBSTITUTE(AI29," ",""),1)</f>
        <v>1</v>
      </c>
      <c r="AJ30" s="6"/>
      <c r="AK30" s="6">
        <f ca="1">AK28/RIGHT(SUBSTITUTE(AK29," ",""),1)</f>
        <v>7</v>
      </c>
      <c r="AL30" s="6"/>
      <c r="AM30" s="6">
        <f ca="1">AM28/RIGHT(SUBSTITUTE(AM29," ",""),1)</f>
        <v>9</v>
      </c>
      <c r="AN30" s="6"/>
      <c r="AO30" s="6">
        <f ca="1">AO28/RIGHT(SUBSTITUTE(AO29," ",""),1)</f>
        <v>4</v>
      </c>
      <c r="AP30" s="6"/>
      <c r="AQ30" s="6">
        <f ca="1">AQ28/RIGHT(SUBSTITUTE(AQ29," ",""),1)</f>
        <v>9</v>
      </c>
      <c r="AR30" s="6"/>
      <c r="AS30" s="6">
        <f ca="1">AS28/RIGHT(SUBSTITUTE(AS29," ",""),1)</f>
        <v>8</v>
      </c>
      <c r="AT30" s="6"/>
      <c r="AU30" s="6">
        <f ca="1">AU28/RIGHT(SUBSTITUTE(AU29," ",""),1)</f>
        <v>4</v>
      </c>
      <c r="AV30" s="6"/>
      <c r="AW30" s="6">
        <f ca="1">AW28-SUBSTITUTE(SUBSTITUTE(AW29," ",""),"-","")</f>
        <v>1</v>
      </c>
      <c r="AX30" s="6"/>
      <c r="AY30" s="6">
        <f ca="1">AY28-SUBSTITUTE(SUBSTITUTE(AY29," ",""),"-","")</f>
        <v>13</v>
      </c>
      <c r="AZ30" s="6"/>
      <c r="BA30" s="6">
        <f ca="1">BA28-SUBSTITUTE(SUBSTITUTE(BA29," ",""),"-","")</f>
        <v>3</v>
      </c>
      <c r="BB30" s="6"/>
      <c r="BC30" s="6">
        <f ca="1">BC28-SUBSTITUTE(SUBSTITUTE(BC29," ",""),"-","")</f>
        <v>10</v>
      </c>
      <c r="BD30" s="6"/>
      <c r="BE30" s="6">
        <f ca="1">BE28-SUBSTITUTE(SUBSTITUTE(BE29," ",""),"-","")</f>
        <v>26</v>
      </c>
      <c r="BF30" s="6"/>
      <c r="BG30" s="6">
        <f ca="1">BG28-SUBSTITUTE(SUBSTITUTE(BG29," ",""),"-","")</f>
        <v>7</v>
      </c>
      <c r="BH30" s="6"/>
      <c r="BI30" s="6">
        <f ca="1">BI28-SUBSTITUTE(SUBSTITUTE(BI29," ",""),"-","")</f>
        <v>5</v>
      </c>
      <c r="BJ30" s="6"/>
      <c r="BK30" s="6">
        <f ca="1">BK28-SUBSTITUTE(SUBSTITUTE(BK29," ",""),"-","")</f>
        <v>10</v>
      </c>
      <c r="BL30" s="6"/>
      <c r="BM30" s="6">
        <f ca="1">BM28-SUBSTITUTE(SUBSTITUTE(BM29," ",""),"-","")</f>
        <v>9</v>
      </c>
      <c r="BN30" s="6"/>
      <c r="BO30" s="6">
        <f ca="1">BO28-SUBSTITUTE(SUBSTITUTE(BO29," ",""),"-","")</f>
        <v>21</v>
      </c>
      <c r="BP30" s="6"/>
      <c r="BQ30" s="6">
        <f ca="1">BQ28-SUBSTITUTE(SUBSTITUTE(BQ29," ",""),"-","")</f>
        <v>11</v>
      </c>
      <c r="BR30" s="6"/>
      <c r="BS30" s="6">
        <f ca="1">BS28-SUBSTITUTE(SUBSTITUTE(BS29," ",""),"-","")</f>
        <v>4</v>
      </c>
      <c r="BT30" s="6"/>
      <c r="BU30" s="6">
        <f ca="1">BU28+SUBSTITUTE(SUBSTITUTE(BU29," ",""),"-","")</f>
        <v>6</v>
      </c>
      <c r="BV30" s="6"/>
      <c r="BW30" s="6">
        <f ca="1">BW28+RIGHT(SUBSTITUTE(BW29," ",""),1)</f>
        <v>24</v>
      </c>
      <c r="BX30" s="6"/>
      <c r="BY30" s="6">
        <f ca="1">BY28+RIGHT(SUBSTITUTE(BY29," ",""),1)</f>
        <v>28</v>
      </c>
      <c r="BZ30" s="6"/>
      <c r="CA30" s="6">
        <f ca="1">CA28+RIGHT(SUBSTITUTE(CA29," ",""),1)</f>
        <v>20</v>
      </c>
      <c r="CB30" s="6"/>
      <c r="CC30" s="6">
        <f ca="1">CC28+RIGHT(SUBSTITUTE(CC29," ",""),1)</f>
        <v>14</v>
      </c>
      <c r="CD30" s="6"/>
      <c r="CE30" s="6">
        <f ca="1">CE28+RIGHT(SUBSTITUTE(CE29," ",""),1)</f>
        <v>20</v>
      </c>
      <c r="CF30" s="6"/>
      <c r="CG30" s="6">
        <f ca="1">CG28+RIGHT(SUBSTITUTE(CG29," ",""),1)</f>
        <v>21</v>
      </c>
      <c r="CH30" s="6"/>
      <c r="CI30" s="6">
        <f ca="1">CI28+RIGHT(SUBSTITUTE(CI29," ",""),1)</f>
        <v>27</v>
      </c>
      <c r="CJ30" s="6"/>
      <c r="CK30" s="6">
        <f ca="1">CK28+RIGHT(SUBSTITUTE(CK29," ",""),1)</f>
        <v>19</v>
      </c>
      <c r="CL30" s="6"/>
      <c r="CM30" s="6">
        <f ca="1">CM28+RIGHT(SUBSTITUTE(CM29," ",""),1)</f>
        <v>12</v>
      </c>
      <c r="CN30" s="6"/>
      <c r="CO30" s="6">
        <f ca="1">CO28+RIGHT(SUBSTITUTE(CO29," ",""),1)</f>
        <v>21</v>
      </c>
      <c r="CP30" s="6"/>
      <c r="CQ30" s="6">
        <f ca="1">CQ28+RIGHT(SUBSTITUTE(CQ29," ",""),1)</f>
        <v>12</v>
      </c>
      <c r="CR30" s="6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</row>
    <row r="31" spans="1:127" ht="23.25" customHeight="1" thickBot="1" x14ac:dyDescent="0.3">
      <c r="A31" s="3">
        <f ca="1">A5</f>
        <v>6</v>
      </c>
      <c r="C31" s="3">
        <f ca="1">C5</f>
        <v>2</v>
      </c>
      <c r="E31" s="3">
        <f ca="1">E5</f>
        <v>4</v>
      </c>
      <c r="G31" s="3">
        <f ca="1">G5</f>
        <v>9</v>
      </c>
      <c r="I31" s="3">
        <f ca="1">I5</f>
        <v>1</v>
      </c>
      <c r="K31" s="3">
        <f ca="1">K5</f>
        <v>4</v>
      </c>
      <c r="M31" s="3">
        <f ca="1">M5</f>
        <v>6</v>
      </c>
      <c r="O31" s="3">
        <f ca="1">O5</f>
        <v>6</v>
      </c>
      <c r="Q31" s="3">
        <f ca="1">Q5</f>
        <v>7</v>
      </c>
      <c r="S31" s="3">
        <f ca="1">S5</f>
        <v>7</v>
      </c>
      <c r="U31" s="3">
        <f ca="1">U5</f>
        <v>8</v>
      </c>
      <c r="W31" s="3">
        <f ca="1">W5</f>
        <v>3</v>
      </c>
      <c r="Y31" s="3" t="str">
        <f ca="1">Y5</f>
        <v>0</v>
      </c>
      <c r="AA31" s="3">
        <f ca="1">AA5</f>
        <v>4</v>
      </c>
      <c r="AC31" s="3">
        <f ca="1">AC5</f>
        <v>16</v>
      </c>
      <c r="AE31" s="3">
        <f ca="1">AE5</f>
        <v>63</v>
      </c>
      <c r="AG31" s="3">
        <f ca="1">AG5</f>
        <v>2</v>
      </c>
      <c r="AI31" s="3">
        <f ca="1">AI5</f>
        <v>32</v>
      </c>
      <c r="AK31" s="3" t="str">
        <f ca="1">AK5</f>
        <v>0</v>
      </c>
      <c r="AM31" s="3">
        <f ca="1">AM5</f>
        <v>24</v>
      </c>
      <c r="AO31" s="3">
        <f ca="1">AO5</f>
        <v>63</v>
      </c>
      <c r="AQ31" s="3">
        <f ca="1">AQ5</f>
        <v>42</v>
      </c>
      <c r="AS31" s="3">
        <f ca="1">AS5</f>
        <v>64</v>
      </c>
      <c r="AU31" s="3">
        <f ca="1">AU5</f>
        <v>18</v>
      </c>
      <c r="AW31" s="3">
        <f ca="1">AW5</f>
        <v>14</v>
      </c>
      <c r="AY31" s="3">
        <f ca="1">AY5</f>
        <v>18</v>
      </c>
      <c r="BA31" s="3">
        <f ca="1">BA5</f>
        <v>15</v>
      </c>
      <c r="BC31" s="3">
        <f ca="1">BC5</f>
        <v>18</v>
      </c>
      <c r="BE31" s="3">
        <f ca="1">BE5</f>
        <v>30</v>
      </c>
      <c r="BG31" s="3">
        <f ca="1">BG5</f>
        <v>10</v>
      </c>
      <c r="BI31" s="3">
        <f ca="1">BI5</f>
        <v>21</v>
      </c>
      <c r="BK31" s="3">
        <f ca="1">BK5</f>
        <v>23</v>
      </c>
      <c r="BM31" s="3">
        <f ca="1">BM5</f>
        <v>29</v>
      </c>
      <c r="BO31" s="3">
        <f ca="1">BO5</f>
        <v>16</v>
      </c>
      <c r="BQ31" s="3">
        <f ca="1">BQ5</f>
        <v>22</v>
      </c>
      <c r="BS31" s="3">
        <f ca="1">BS5</f>
        <v>6</v>
      </c>
      <c r="BU31" s="3">
        <f ca="1">BU5</f>
        <v>20</v>
      </c>
      <c r="BW31" s="3">
        <f ca="1">BW5</f>
        <v>10</v>
      </c>
      <c r="BY31" s="3">
        <f ca="1">BY5</f>
        <v>10</v>
      </c>
      <c r="CA31" s="3">
        <f ca="1">CA5</f>
        <v>9</v>
      </c>
      <c r="CC31" s="3">
        <f ca="1">CC5</f>
        <v>5</v>
      </c>
      <c r="CE31" s="3">
        <f ca="1">CE5</f>
        <v>28</v>
      </c>
      <c r="CG31" s="3">
        <f ca="1">CG5</f>
        <v>12</v>
      </c>
      <c r="CI31" s="3">
        <f ca="1">CI5</f>
        <v>5</v>
      </c>
      <c r="CK31" s="3">
        <f ca="1">CK5</f>
        <v>5</v>
      </c>
      <c r="CM31" s="3">
        <f ca="1">CM5</f>
        <v>30</v>
      </c>
      <c r="CO31" s="3">
        <f ca="1">CO5</f>
        <v>5</v>
      </c>
      <c r="CQ31" s="3">
        <f ca="1">CQ5</f>
        <v>21</v>
      </c>
      <c r="CS31" s="9" t="s">
        <v>4</v>
      </c>
      <c r="CT31" s="9"/>
      <c r="CU31" s="11">
        <f ca="1">CU5</f>
        <v>0.22916666666666666</v>
      </c>
      <c r="CV31" s="11"/>
      <c r="CW31" s="9" t="s">
        <v>3</v>
      </c>
      <c r="CX31" s="9"/>
      <c r="CY31" s="11">
        <f ca="1">CY5</f>
        <v>0.47916666666666669</v>
      </c>
      <c r="CZ31" s="11"/>
      <c r="DA31" s="12" t="s">
        <v>5</v>
      </c>
      <c r="DB31" s="12"/>
      <c r="DC31" s="12"/>
      <c r="DD31" s="13">
        <f ca="1">CY31-CU31</f>
        <v>0.25</v>
      </c>
      <c r="DE31" s="13"/>
      <c r="DF31" s="13"/>
      <c r="DG31" s="13"/>
      <c r="DH31" s="13"/>
    </row>
    <row r="32" spans="1:127" ht="23.25" customHeight="1" thickBot="1" x14ac:dyDescent="0.3">
      <c r="A32" s="4" t="str">
        <f ca="1">A6</f>
        <v xml:space="preserve">x  0    </v>
      </c>
      <c r="C32" s="4" t="str">
        <f ca="1">C6</f>
        <v xml:space="preserve">x  2    </v>
      </c>
      <c r="E32" s="4" t="str">
        <f ca="1">E6</f>
        <v xml:space="preserve">x  4    </v>
      </c>
      <c r="G32" s="4" t="str">
        <f ca="1">G6</f>
        <v xml:space="preserve">x  7    </v>
      </c>
      <c r="I32" s="4" t="str">
        <f ca="1">I6</f>
        <v xml:space="preserve">x  2    </v>
      </c>
      <c r="K32" s="4" t="str">
        <f ca="1">K6</f>
        <v xml:space="preserve">x  8    </v>
      </c>
      <c r="M32" s="4" t="str">
        <f ca="1">M6</f>
        <v xml:space="preserve">x  0    </v>
      </c>
      <c r="O32" s="4" t="str">
        <f ca="1">O6</f>
        <v xml:space="preserve">x  4    </v>
      </c>
      <c r="Q32" s="4" t="str">
        <f ca="1">Q6</f>
        <v xml:space="preserve">x  9    </v>
      </c>
      <c r="S32" s="4" t="str">
        <f ca="1">S6</f>
        <v xml:space="preserve">x  6    </v>
      </c>
      <c r="U32" s="4" t="str">
        <f ca="1">U6</f>
        <v xml:space="preserve">x  8    </v>
      </c>
      <c r="W32" s="4" t="str">
        <f ca="1">W6</f>
        <v xml:space="preserve">x  6    </v>
      </c>
      <c r="Y32" s="4" t="str">
        <f ca="1">Y6</f>
        <v xml:space="preserve">÷  6    </v>
      </c>
      <c r="AA32" s="4" t="str">
        <f ca="1">AA6</f>
        <v xml:space="preserve">÷  2    </v>
      </c>
      <c r="AC32" s="4" t="str">
        <f ca="1">AC6</f>
        <v xml:space="preserve">÷  4    </v>
      </c>
      <c r="AE32" s="4" t="str">
        <f ca="1">AE6</f>
        <v xml:space="preserve">÷  7    </v>
      </c>
      <c r="AG32" s="4" t="str">
        <f ca="1">AG6</f>
        <v xml:space="preserve">÷  2    </v>
      </c>
      <c r="AI32" s="4" t="str">
        <f ca="1">AI6</f>
        <v xml:space="preserve">÷  4    </v>
      </c>
      <c r="AK32" s="4" t="str">
        <f ca="1">AK6</f>
        <v xml:space="preserve">÷  6    </v>
      </c>
      <c r="AM32" s="4" t="str">
        <f ca="1">AM6</f>
        <v xml:space="preserve">÷  6    </v>
      </c>
      <c r="AO32" s="4" t="str">
        <f ca="1">AO6</f>
        <v xml:space="preserve">÷  7    </v>
      </c>
      <c r="AQ32" s="4" t="str">
        <f ca="1">AQ6</f>
        <v xml:space="preserve">÷  7    </v>
      </c>
      <c r="AS32" s="4" t="str">
        <f ca="1">AS6</f>
        <v xml:space="preserve">÷  8    </v>
      </c>
      <c r="AU32" s="4" t="str">
        <f ca="1">AU6</f>
        <v xml:space="preserve">÷  3    </v>
      </c>
      <c r="AW32" s="4" t="str">
        <f ca="1">AW6</f>
        <v xml:space="preserve">-  9    </v>
      </c>
      <c r="AY32" s="4" t="str">
        <f ca="1">AY6</f>
        <v xml:space="preserve">-  4    </v>
      </c>
      <c r="BA32" s="4" t="str">
        <f ca="1">BA6</f>
        <v xml:space="preserve">-  1    </v>
      </c>
      <c r="BC32" s="4" t="str">
        <f ca="1">BC6</f>
        <v xml:space="preserve">-  15    </v>
      </c>
      <c r="BE32" s="4" t="str">
        <f ca="1">BE6</f>
        <v xml:space="preserve">-  2    </v>
      </c>
      <c r="BG32" s="4" t="str">
        <f ca="1">BG6</f>
        <v xml:space="preserve">-  9    </v>
      </c>
      <c r="BI32" s="4" t="str">
        <f ca="1">BI6</f>
        <v xml:space="preserve">-  12    </v>
      </c>
      <c r="BK32" s="4" t="str">
        <f ca="1">BK6</f>
        <v xml:space="preserve">-  4    </v>
      </c>
      <c r="BM32" s="4" t="str">
        <f ca="1">BM6</f>
        <v xml:space="preserve">-  13    </v>
      </c>
      <c r="BO32" s="4" t="str">
        <f ca="1">BO6</f>
        <v xml:space="preserve">-  1    </v>
      </c>
      <c r="BQ32" s="4" t="str">
        <f ca="1">BQ6</f>
        <v xml:space="preserve">-  3    </v>
      </c>
      <c r="BS32" s="4" t="str">
        <f ca="1">BS6</f>
        <v xml:space="preserve">-  4    </v>
      </c>
      <c r="BU32" s="4" t="str">
        <f ca="1">BU6</f>
        <v xml:space="preserve">+  4    </v>
      </c>
      <c r="BW32" s="4" t="str">
        <f ca="1">BW6</f>
        <v xml:space="preserve">+  1    </v>
      </c>
      <c r="BY32" s="4" t="str">
        <f ca="1">BY6</f>
        <v xml:space="preserve">+  3    </v>
      </c>
      <c r="CA32" s="4" t="str">
        <f ca="1">CA6</f>
        <v xml:space="preserve">+  8    </v>
      </c>
      <c r="CC32" s="4" t="str">
        <f ca="1">CC6</f>
        <v xml:space="preserve">+  3    </v>
      </c>
      <c r="CE32" s="4" t="str">
        <f ca="1">CE6</f>
        <v xml:space="preserve">+  8    </v>
      </c>
      <c r="CG32" s="4" t="str">
        <f ca="1">CG6</f>
        <v xml:space="preserve">+  10    </v>
      </c>
      <c r="CI32" s="4" t="str">
        <f ca="1">CI6</f>
        <v xml:space="preserve">+  2    </v>
      </c>
      <c r="CK32" s="4" t="str">
        <f ca="1">CK6</f>
        <v xml:space="preserve">+  2    </v>
      </c>
      <c r="CM32" s="4" t="str">
        <f ca="1">CM6</f>
        <v xml:space="preserve">+  15    </v>
      </c>
      <c r="CO32" s="4" t="str">
        <f ca="1">CO6</f>
        <v xml:space="preserve">+  4    </v>
      </c>
      <c r="CQ32" s="4" t="str">
        <f ca="1">CQ6</f>
        <v xml:space="preserve">+  3    </v>
      </c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</row>
    <row r="33" spans="1:127" ht="32.25" customHeight="1" x14ac:dyDescent="0.25">
      <c r="A33" s="6">
        <f ca="1">A31*RIGHT(SUBSTITUTE(A32," ",""),1)</f>
        <v>0</v>
      </c>
      <c r="B33" s="6"/>
      <c r="C33" s="6">
        <f ca="1">C31*RIGHT(SUBSTITUTE(C32," ",""),1)</f>
        <v>4</v>
      </c>
      <c r="D33" s="6"/>
      <c r="E33" s="6">
        <f ca="1">E31*RIGHT(SUBSTITUTE(E32," ",""),1)</f>
        <v>16</v>
      </c>
      <c r="F33" s="6"/>
      <c r="G33" s="6">
        <f ca="1">G31*RIGHT(SUBSTITUTE(G32," ",""),1)</f>
        <v>63</v>
      </c>
      <c r="H33" s="6"/>
      <c r="I33" s="6">
        <f ca="1">I31*RIGHT(SUBSTITUTE(I32," ",""),1)</f>
        <v>2</v>
      </c>
      <c r="J33" s="6"/>
      <c r="K33" s="6">
        <f ca="1">K31*RIGHT(SUBSTITUTE(K32," ",""),1)</f>
        <v>32</v>
      </c>
      <c r="L33" s="6"/>
      <c r="M33" s="6">
        <f ca="1">M31*RIGHT(SUBSTITUTE(M32," ",""),1)</f>
        <v>0</v>
      </c>
      <c r="N33" s="6"/>
      <c r="O33" s="6">
        <f ca="1">O31*RIGHT(SUBSTITUTE(O32," ",""),1)</f>
        <v>24</v>
      </c>
      <c r="P33" s="6"/>
      <c r="Q33" s="6">
        <f ca="1">Q31*RIGHT(SUBSTITUTE(Q32," ",""),1)</f>
        <v>63</v>
      </c>
      <c r="R33" s="6"/>
      <c r="S33" s="6">
        <f ca="1">S31*RIGHT(SUBSTITUTE(S32," ",""),1)</f>
        <v>42</v>
      </c>
      <c r="T33" s="6"/>
      <c r="U33" s="6">
        <f ca="1">U31*RIGHT(SUBSTITUTE(U32," ",""),1)</f>
        <v>64</v>
      </c>
      <c r="V33" s="6"/>
      <c r="W33" s="6">
        <f ca="1">W31*RIGHT(SUBSTITUTE(W32," ",""),1)</f>
        <v>18</v>
      </c>
      <c r="X33" s="5"/>
      <c r="Y33" s="6">
        <f ca="1">Y31/RIGHT(SUBSTITUTE(Y32," ",""),1)</f>
        <v>0</v>
      </c>
      <c r="Z33" s="6"/>
      <c r="AA33" s="6">
        <f ca="1">AA31/RIGHT(SUBSTITUTE(AA32," ",""),1)</f>
        <v>2</v>
      </c>
      <c r="AB33" s="6"/>
      <c r="AC33" s="6">
        <f ca="1">AC31/RIGHT(SUBSTITUTE(AC32," ",""),1)</f>
        <v>4</v>
      </c>
      <c r="AD33" s="6"/>
      <c r="AE33" s="6">
        <f ca="1">AE31/RIGHT(SUBSTITUTE(AE32," ",""),1)</f>
        <v>9</v>
      </c>
      <c r="AF33" s="6"/>
      <c r="AG33" s="6">
        <f ca="1">AG31/RIGHT(SUBSTITUTE(AG32," ",""),1)</f>
        <v>1</v>
      </c>
      <c r="AH33" s="6"/>
      <c r="AI33" s="6">
        <f ca="1">AI31/RIGHT(SUBSTITUTE(AI32," ",""),1)</f>
        <v>8</v>
      </c>
      <c r="AJ33" s="6"/>
      <c r="AK33" s="6">
        <f ca="1">AK31/RIGHT(SUBSTITUTE(AK32," ",""),1)</f>
        <v>0</v>
      </c>
      <c r="AL33" s="6"/>
      <c r="AM33" s="6">
        <f ca="1">AM31/RIGHT(SUBSTITUTE(AM32," ",""),1)</f>
        <v>4</v>
      </c>
      <c r="AN33" s="6"/>
      <c r="AO33" s="6">
        <f ca="1">AO31/RIGHT(SUBSTITUTE(AO32," ",""),1)</f>
        <v>9</v>
      </c>
      <c r="AP33" s="6"/>
      <c r="AQ33" s="6">
        <f ca="1">AQ31/RIGHT(SUBSTITUTE(AQ32," ",""),1)</f>
        <v>6</v>
      </c>
      <c r="AR33" s="6"/>
      <c r="AS33" s="6">
        <f ca="1">AS31/RIGHT(SUBSTITUTE(AS32," ",""),1)</f>
        <v>8</v>
      </c>
      <c r="AT33" s="6"/>
      <c r="AU33" s="6">
        <f ca="1">AU31/RIGHT(SUBSTITUTE(AU32," ",""),1)</f>
        <v>6</v>
      </c>
      <c r="AV33" s="6"/>
      <c r="AW33" s="6">
        <f ca="1">AW31-SUBSTITUTE(SUBSTITUTE(AW32," ",""),"-","")</f>
        <v>5</v>
      </c>
      <c r="AX33" s="6"/>
      <c r="AY33" s="6">
        <f ca="1">AY31-SUBSTITUTE(SUBSTITUTE(AY32," ",""),"-","")</f>
        <v>14</v>
      </c>
      <c r="AZ33" s="6"/>
      <c r="BA33" s="6">
        <f ca="1">BA31-SUBSTITUTE(SUBSTITUTE(BA32," ",""),"-","")</f>
        <v>14</v>
      </c>
      <c r="BB33" s="6"/>
      <c r="BC33" s="6">
        <f ca="1">BC31-SUBSTITUTE(SUBSTITUTE(BC32," ",""),"-","")</f>
        <v>3</v>
      </c>
      <c r="BD33" s="6"/>
      <c r="BE33" s="6">
        <f ca="1">BE31-SUBSTITUTE(SUBSTITUTE(BE32," ",""),"-","")</f>
        <v>28</v>
      </c>
      <c r="BF33" s="6"/>
      <c r="BG33" s="6">
        <f ca="1">BG31-SUBSTITUTE(SUBSTITUTE(BG32," ",""),"-","")</f>
        <v>1</v>
      </c>
      <c r="BH33" s="6"/>
      <c r="BI33" s="6">
        <f ca="1">BI31-SUBSTITUTE(SUBSTITUTE(BI32," ",""),"-","")</f>
        <v>9</v>
      </c>
      <c r="BJ33" s="6"/>
      <c r="BK33" s="6">
        <f ca="1">BK31-SUBSTITUTE(SUBSTITUTE(BK32," ",""),"-","")</f>
        <v>19</v>
      </c>
      <c r="BL33" s="6"/>
      <c r="BM33" s="6">
        <f ca="1">BM31-SUBSTITUTE(SUBSTITUTE(BM32," ",""),"-","")</f>
        <v>16</v>
      </c>
      <c r="BN33" s="6"/>
      <c r="BO33" s="6">
        <f ca="1">BO31-SUBSTITUTE(SUBSTITUTE(BO32," ",""),"-","")</f>
        <v>15</v>
      </c>
      <c r="BP33" s="6"/>
      <c r="BQ33" s="6">
        <f ca="1">BQ31-SUBSTITUTE(SUBSTITUTE(BQ32," ",""),"-","")</f>
        <v>19</v>
      </c>
      <c r="BR33" s="6"/>
      <c r="BS33" s="6">
        <f ca="1">BS31-SUBSTITUTE(SUBSTITUTE(BS32," ",""),"-","")</f>
        <v>2</v>
      </c>
      <c r="BT33" s="6"/>
      <c r="BU33" s="6">
        <f ca="1">BU31+RIGHT(SUBSTITUTE(BU32," ",""),1)</f>
        <v>24</v>
      </c>
      <c r="BV33" s="6"/>
      <c r="BW33" s="6">
        <f ca="1">BW31+RIGHT(SUBSTITUTE(BW32," ",""),1)</f>
        <v>11</v>
      </c>
      <c r="BX33" s="6"/>
      <c r="BY33" s="6">
        <f ca="1">BY31+RIGHT(SUBSTITUTE(BY32," ",""),1)</f>
        <v>13</v>
      </c>
      <c r="BZ33" s="6"/>
      <c r="CA33" s="6">
        <f ca="1">CA31+RIGHT(SUBSTITUTE(CA32," ",""),1)</f>
        <v>17</v>
      </c>
      <c r="CB33" s="6"/>
      <c r="CC33" s="6">
        <f ca="1">CC31+RIGHT(SUBSTITUTE(CC32," ",""),1)</f>
        <v>8</v>
      </c>
      <c r="CD33" s="6"/>
      <c r="CE33" s="6">
        <f ca="1">CE31+RIGHT(SUBSTITUTE(CE32," ",""),1)</f>
        <v>36</v>
      </c>
      <c r="CF33" s="6"/>
      <c r="CG33" s="6">
        <f ca="1">CG31+RIGHT(SUBSTITUTE(CG32," ",""),1)</f>
        <v>12</v>
      </c>
      <c r="CH33" s="6"/>
      <c r="CI33" s="6">
        <f ca="1">CI31+RIGHT(SUBSTITUTE(CI32," ",""),1)</f>
        <v>7</v>
      </c>
      <c r="CJ33" s="6"/>
      <c r="CK33" s="6">
        <f ca="1">CK31+RIGHT(SUBSTITUTE(CK32," ",""),1)</f>
        <v>7</v>
      </c>
      <c r="CL33" s="6"/>
      <c r="CM33" s="6">
        <f ca="1">CM31+RIGHT(SUBSTITUTE(CM32," ",""),1)</f>
        <v>35</v>
      </c>
      <c r="CN33" s="6"/>
      <c r="CO33" s="6">
        <f ca="1">CO31+RIGHT(SUBSTITUTE(CO32," ",""),1)</f>
        <v>9</v>
      </c>
      <c r="CP33" s="6"/>
      <c r="CQ33" s="6">
        <f ca="1">CQ31+RIGHT(SUBSTITUTE(CQ32," ",""),1)</f>
        <v>24</v>
      </c>
      <c r="CR33" s="6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</row>
    <row r="34" spans="1:127" ht="23.25" customHeight="1" thickBot="1" x14ac:dyDescent="0.3">
      <c r="A34" s="3">
        <f ca="1">A8</f>
        <v>9</v>
      </c>
      <c r="C34" s="3">
        <f ca="1">C8</f>
        <v>9</v>
      </c>
      <c r="E34" s="3">
        <f ca="1">E8</f>
        <v>2</v>
      </c>
      <c r="G34" s="3">
        <f ca="1">G8</f>
        <v>8</v>
      </c>
      <c r="I34" s="3">
        <f ca="1">I8</f>
        <v>4</v>
      </c>
      <c r="K34" s="3">
        <f ca="1">K8</f>
        <v>5</v>
      </c>
      <c r="M34" s="3">
        <f ca="1">M8</f>
        <v>8</v>
      </c>
      <c r="O34" s="3">
        <f ca="1">O8</f>
        <v>1</v>
      </c>
      <c r="Q34" s="3">
        <f ca="1">Q8</f>
        <v>4</v>
      </c>
      <c r="S34" s="3">
        <f ca="1">S8</f>
        <v>1</v>
      </c>
      <c r="U34" s="3">
        <f ca="1">U8</f>
        <v>4</v>
      </c>
      <c r="W34" s="3">
        <f ca="1">W8</f>
        <v>9</v>
      </c>
      <c r="Y34" s="3">
        <f ca="1">Y8</f>
        <v>18</v>
      </c>
      <c r="AA34" s="3">
        <f ca="1">AA8</f>
        <v>81</v>
      </c>
      <c r="AC34" s="3">
        <f ca="1">AC8</f>
        <v>6</v>
      </c>
      <c r="AE34" s="3">
        <f ca="1">AE8</f>
        <v>64</v>
      </c>
      <c r="AG34" s="3">
        <f ca="1">AG8</f>
        <v>12</v>
      </c>
      <c r="AI34" s="3">
        <f ca="1">AI8</f>
        <v>20</v>
      </c>
      <c r="AK34" s="3">
        <f ca="1">AK8</f>
        <v>24</v>
      </c>
      <c r="AM34" s="3">
        <f ca="1">AM8</f>
        <v>5</v>
      </c>
      <c r="AO34" s="3">
        <f ca="1">AO8</f>
        <v>4</v>
      </c>
      <c r="AQ34" s="3">
        <f ca="1">AQ8</f>
        <v>7</v>
      </c>
      <c r="AS34" s="3">
        <f ca="1">AS8</f>
        <v>24</v>
      </c>
      <c r="AU34" s="3">
        <f ca="1">AU8</f>
        <v>18</v>
      </c>
      <c r="AW34" s="3">
        <f ca="1">AW8</f>
        <v>21</v>
      </c>
      <c r="AY34" s="3">
        <f ca="1">AY8</f>
        <v>17</v>
      </c>
      <c r="BA34" s="3">
        <f ca="1">BA8</f>
        <v>13</v>
      </c>
      <c r="BC34" s="3">
        <f ca="1">BC8</f>
        <v>14</v>
      </c>
      <c r="BE34" s="3">
        <f ca="1">BE8</f>
        <v>14</v>
      </c>
      <c r="BG34" s="3">
        <f ca="1">BG8</f>
        <v>29</v>
      </c>
      <c r="BI34" s="3">
        <f ca="1">BI8</f>
        <v>30</v>
      </c>
      <c r="BK34" s="3">
        <f ca="1">BK8</f>
        <v>6</v>
      </c>
      <c r="BM34" s="3">
        <f ca="1">BM8</f>
        <v>19</v>
      </c>
      <c r="BO34" s="3">
        <f ca="1">BO8</f>
        <v>5</v>
      </c>
      <c r="BQ34" s="3">
        <f ca="1">BQ8</f>
        <v>16</v>
      </c>
      <c r="BS34" s="3">
        <f ca="1">BS8</f>
        <v>21</v>
      </c>
      <c r="BU34" s="3">
        <f ca="1">BU8</f>
        <v>21</v>
      </c>
      <c r="BW34" s="3">
        <f ca="1">BW8</f>
        <v>17</v>
      </c>
      <c r="BY34" s="3">
        <f ca="1">BY8</f>
        <v>14</v>
      </c>
      <c r="CA34" s="3">
        <f ca="1">CA8</f>
        <v>7</v>
      </c>
      <c r="CC34" s="3">
        <f ca="1">CC8</f>
        <v>27</v>
      </c>
      <c r="CE34" s="3">
        <f ca="1">CE8</f>
        <v>6</v>
      </c>
      <c r="CG34" s="3">
        <f ca="1">CG8</f>
        <v>12</v>
      </c>
      <c r="CI34" s="3">
        <f ca="1">CI8</f>
        <v>12</v>
      </c>
      <c r="CK34" s="3">
        <f ca="1">CK8</f>
        <v>15</v>
      </c>
      <c r="CM34" s="3">
        <f ca="1">CM8</f>
        <v>20</v>
      </c>
      <c r="CO34" s="3">
        <f ca="1">CO8</f>
        <v>14</v>
      </c>
      <c r="CQ34" s="3">
        <f ca="1">CQ8</f>
        <v>17</v>
      </c>
      <c r="CS34" s="9" t="s">
        <v>4</v>
      </c>
      <c r="CT34" s="9"/>
      <c r="CU34" s="11">
        <f ca="1">CU8</f>
        <v>0.96875</v>
      </c>
      <c r="CV34" s="11"/>
      <c r="CW34" s="9" t="s">
        <v>3</v>
      </c>
      <c r="CX34" s="9"/>
      <c r="CY34" s="11">
        <f ca="1">CY8</f>
        <v>1</v>
      </c>
      <c r="CZ34" s="11"/>
      <c r="DA34" s="12" t="s">
        <v>5</v>
      </c>
      <c r="DB34" s="12"/>
      <c r="DC34" s="12"/>
      <c r="DD34" s="13">
        <f ca="1">CY34-CU34</f>
        <v>3.125E-2</v>
      </c>
      <c r="DE34" s="13"/>
      <c r="DF34" s="13"/>
      <c r="DG34" s="13"/>
      <c r="DH34" s="13"/>
      <c r="DI34" s="16" t="str">
        <f ca="1" xml:space="preserve"> "TIME:   " &amp; TEXT(Sheet3!$B1, "HH:MM am/pm")</f>
        <v>TIME:   11:11 PM</v>
      </c>
      <c r="DJ34" s="16"/>
      <c r="DK34" s="16"/>
      <c r="DL34" s="16"/>
      <c r="DM34" s="16"/>
      <c r="DN34" s="16" t="str">
        <f ca="1" xml:space="preserve"> "TIME:   " &amp; TEXT(Sheet3!$B2, "HH:MM am/pm")</f>
        <v>TIME:   10:09 AM</v>
      </c>
      <c r="DO34" s="16"/>
      <c r="DP34" s="16"/>
      <c r="DQ34" s="16"/>
      <c r="DR34" s="16"/>
      <c r="DS34" s="16" t="str">
        <f ca="1" xml:space="preserve"> "TIME:   " &amp; TEXT(Sheet3!$B3, "HH:MM am/pm")</f>
        <v>TIME:   08:13 PM</v>
      </c>
      <c r="DT34" s="16"/>
      <c r="DU34" s="16"/>
      <c r="DV34" s="16"/>
      <c r="DW34" s="16"/>
    </row>
    <row r="35" spans="1:127" ht="23.25" customHeight="1" thickBot="1" x14ac:dyDescent="0.3">
      <c r="A35" s="4" t="str">
        <f ca="1">A9</f>
        <v xml:space="preserve">x  2    </v>
      </c>
      <c r="C35" s="4" t="str">
        <f ca="1">C9</f>
        <v xml:space="preserve">x  9    </v>
      </c>
      <c r="E35" s="4" t="str">
        <f ca="1">E9</f>
        <v xml:space="preserve">x  3    </v>
      </c>
      <c r="G35" s="4" t="str">
        <f ca="1">G9</f>
        <v xml:space="preserve">x  8    </v>
      </c>
      <c r="I35" s="4" t="str">
        <f ca="1">I9</f>
        <v xml:space="preserve">x  3    </v>
      </c>
      <c r="K35" s="4" t="str">
        <f ca="1">K9</f>
        <v xml:space="preserve">x  4    </v>
      </c>
      <c r="M35" s="4" t="str">
        <f ca="1">M9</f>
        <v xml:space="preserve">x  3    </v>
      </c>
      <c r="O35" s="4" t="str">
        <f ca="1">O9</f>
        <v xml:space="preserve">x  5    </v>
      </c>
      <c r="Q35" s="4" t="str">
        <f ca="1">Q9</f>
        <v xml:space="preserve">x  1    </v>
      </c>
      <c r="S35" s="4" t="str">
        <f ca="1">S9</f>
        <v xml:space="preserve">x  7    </v>
      </c>
      <c r="U35" s="4" t="str">
        <f ca="1">U9</f>
        <v xml:space="preserve">x  6    </v>
      </c>
      <c r="W35" s="4" t="str">
        <f ca="1">W9</f>
        <v xml:space="preserve">x  2    </v>
      </c>
      <c r="Y35" s="4" t="str">
        <f ca="1">Y9</f>
        <v xml:space="preserve">÷  2    </v>
      </c>
      <c r="AA35" s="4" t="str">
        <f ca="1">AA9</f>
        <v xml:space="preserve">÷  9    </v>
      </c>
      <c r="AC35" s="4" t="str">
        <f ca="1">AC9</f>
        <v xml:space="preserve">÷  3    </v>
      </c>
      <c r="AE35" s="4" t="str">
        <f ca="1">AE9</f>
        <v xml:space="preserve">÷  8    </v>
      </c>
      <c r="AG35" s="4" t="str">
        <f ca="1">AG9</f>
        <v xml:space="preserve">÷  3    </v>
      </c>
      <c r="AI35" s="4" t="str">
        <f ca="1">AI9</f>
        <v xml:space="preserve">÷  4    </v>
      </c>
      <c r="AK35" s="4" t="str">
        <f ca="1">AK9</f>
        <v xml:space="preserve">÷  3    </v>
      </c>
      <c r="AM35" s="4" t="str">
        <f ca="1">AM9</f>
        <v xml:space="preserve">÷  1    </v>
      </c>
      <c r="AO35" s="4" t="str">
        <f ca="1">AO9</f>
        <v xml:space="preserve">÷  1    </v>
      </c>
      <c r="AQ35" s="4" t="str">
        <f ca="1">AQ9</f>
        <v xml:space="preserve">÷  7    </v>
      </c>
      <c r="AS35" s="4" t="str">
        <f ca="1">AS9</f>
        <v xml:space="preserve">÷  4    </v>
      </c>
      <c r="AU35" s="4" t="str">
        <f ca="1">AU9</f>
        <v xml:space="preserve">÷  9    </v>
      </c>
      <c r="AW35" s="4" t="str">
        <f ca="1">AW9</f>
        <v xml:space="preserve">-  13    </v>
      </c>
      <c r="AY35" s="4" t="str">
        <f ca="1">AY9</f>
        <v xml:space="preserve">-  12    </v>
      </c>
      <c r="BA35" s="4" t="str">
        <f ca="1">BA9</f>
        <v xml:space="preserve">-  11    </v>
      </c>
      <c r="BC35" s="4" t="str">
        <f ca="1">BC9</f>
        <v xml:space="preserve">-  4    </v>
      </c>
      <c r="BE35" s="4" t="str">
        <f ca="1">BE9</f>
        <v xml:space="preserve">-  4    </v>
      </c>
      <c r="BG35" s="4" t="str">
        <f ca="1">BG9</f>
        <v xml:space="preserve">-  14    </v>
      </c>
      <c r="BI35" s="4" t="str">
        <f ca="1">BI9</f>
        <v xml:space="preserve">-  8    </v>
      </c>
      <c r="BK35" s="4" t="str">
        <f ca="1">BK9</f>
        <v xml:space="preserve">-  2    </v>
      </c>
      <c r="BM35" s="4" t="str">
        <f ca="1">BM9</f>
        <v xml:space="preserve">-  17    </v>
      </c>
      <c r="BO35" s="4" t="str">
        <f ca="1">BO9</f>
        <v xml:space="preserve">-  3    </v>
      </c>
      <c r="BQ35" s="4" t="str">
        <f ca="1">BQ9</f>
        <v xml:space="preserve">-  7    </v>
      </c>
      <c r="BS35" s="4" t="str">
        <f ca="1">BS9</f>
        <v xml:space="preserve">-  15    </v>
      </c>
      <c r="BU35" s="4" t="str">
        <f ca="1">BU9</f>
        <v xml:space="preserve">+  4    </v>
      </c>
      <c r="BW35" s="4" t="str">
        <f ca="1">BW9</f>
        <v xml:space="preserve">+  3    </v>
      </c>
      <c r="BY35" s="4" t="str">
        <f ca="1">BY9</f>
        <v xml:space="preserve">+  10    </v>
      </c>
      <c r="CA35" s="4" t="str">
        <f ca="1">CA9</f>
        <v xml:space="preserve">+  6    </v>
      </c>
      <c r="CC35" s="4" t="str">
        <f ca="1">CC9</f>
        <v xml:space="preserve">+  19    </v>
      </c>
      <c r="CE35" s="4" t="str">
        <f ca="1">CE9</f>
        <v xml:space="preserve">+  4    </v>
      </c>
      <c r="CG35" s="4" t="str">
        <f ca="1">CG9</f>
        <v xml:space="preserve">+  4    </v>
      </c>
      <c r="CI35" s="4" t="str">
        <f ca="1">CI9</f>
        <v xml:space="preserve">+  9    </v>
      </c>
      <c r="CK35" s="4" t="str">
        <f ca="1">CK9</f>
        <v xml:space="preserve">+  4    </v>
      </c>
      <c r="CM35" s="4" t="str">
        <f ca="1">CM9</f>
        <v xml:space="preserve">+  2    </v>
      </c>
      <c r="CO35" s="4" t="str">
        <f ca="1">CO9</f>
        <v xml:space="preserve">+  1    </v>
      </c>
      <c r="CQ35" s="4" t="str">
        <f ca="1">CQ9</f>
        <v xml:space="preserve">+  16    </v>
      </c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</row>
    <row r="36" spans="1:127" ht="32.25" customHeight="1" x14ac:dyDescent="0.25">
      <c r="A36" s="6">
        <f ca="1">A34*RIGHT(SUBSTITUTE(A35," ",""),1)</f>
        <v>18</v>
      </c>
      <c r="B36" s="6"/>
      <c r="C36" s="6">
        <f ca="1">C34*RIGHT(SUBSTITUTE(C35," ",""),1)</f>
        <v>81</v>
      </c>
      <c r="D36" s="6"/>
      <c r="E36" s="6">
        <f ca="1">E34*RIGHT(SUBSTITUTE(E35," ",""),1)</f>
        <v>6</v>
      </c>
      <c r="F36" s="6"/>
      <c r="G36" s="6">
        <f ca="1">G34*RIGHT(SUBSTITUTE(G35," ",""),1)</f>
        <v>64</v>
      </c>
      <c r="H36" s="6"/>
      <c r="I36" s="6">
        <f ca="1">I34*RIGHT(SUBSTITUTE(I35," ",""),1)</f>
        <v>12</v>
      </c>
      <c r="J36" s="6"/>
      <c r="K36" s="6">
        <f ca="1">K34*RIGHT(SUBSTITUTE(K35," ",""),1)</f>
        <v>20</v>
      </c>
      <c r="L36" s="6"/>
      <c r="M36" s="6">
        <f ca="1">M34*RIGHT(SUBSTITUTE(M35," ",""),1)</f>
        <v>24</v>
      </c>
      <c r="N36" s="6"/>
      <c r="O36" s="6">
        <f ca="1">O34*RIGHT(SUBSTITUTE(O35," ",""),1)</f>
        <v>5</v>
      </c>
      <c r="P36" s="6"/>
      <c r="Q36" s="6">
        <f ca="1">Q34*RIGHT(SUBSTITUTE(Q35," ",""),1)</f>
        <v>4</v>
      </c>
      <c r="R36" s="6"/>
      <c r="S36" s="6">
        <f ca="1">S34*RIGHT(SUBSTITUTE(S35," ",""),1)</f>
        <v>7</v>
      </c>
      <c r="T36" s="6"/>
      <c r="U36" s="6">
        <f ca="1">U34*RIGHT(SUBSTITUTE(U35," ",""),1)</f>
        <v>24</v>
      </c>
      <c r="V36" s="6"/>
      <c r="W36" s="6">
        <f ca="1">W34*RIGHT(SUBSTITUTE(W35," ",""),1)</f>
        <v>18</v>
      </c>
      <c r="X36" s="5"/>
      <c r="Y36" s="6">
        <f ca="1">Y34/RIGHT(SUBSTITUTE(Y35," ",""),1)</f>
        <v>9</v>
      </c>
      <c r="Z36" s="6"/>
      <c r="AA36" s="6">
        <f ca="1">AA34/RIGHT(SUBSTITUTE(AA35," ",""),1)</f>
        <v>9</v>
      </c>
      <c r="AB36" s="6"/>
      <c r="AC36" s="6">
        <f ca="1">AC34/RIGHT(SUBSTITUTE(AC35," ",""),1)</f>
        <v>2</v>
      </c>
      <c r="AD36" s="6"/>
      <c r="AE36" s="6">
        <f ca="1">AE34/RIGHT(SUBSTITUTE(AE35," ",""),1)</f>
        <v>8</v>
      </c>
      <c r="AF36" s="6"/>
      <c r="AG36" s="6">
        <f ca="1">AG34/RIGHT(SUBSTITUTE(AG35," ",""),1)</f>
        <v>4</v>
      </c>
      <c r="AH36" s="6"/>
      <c r="AI36" s="6">
        <f ca="1">AI34/RIGHT(SUBSTITUTE(AI35," ",""),1)</f>
        <v>5</v>
      </c>
      <c r="AJ36" s="6"/>
      <c r="AK36" s="6">
        <f ca="1">AK34/RIGHT(SUBSTITUTE(AK35," ",""),1)</f>
        <v>8</v>
      </c>
      <c r="AL36" s="6"/>
      <c r="AM36" s="6">
        <f ca="1">AM34/RIGHT(SUBSTITUTE(AM35," ",""),1)</f>
        <v>5</v>
      </c>
      <c r="AN36" s="6"/>
      <c r="AO36" s="6">
        <f ca="1">AO34/RIGHT(SUBSTITUTE(AO35," ",""),1)</f>
        <v>4</v>
      </c>
      <c r="AP36" s="6"/>
      <c r="AQ36" s="6">
        <f ca="1">AQ34/RIGHT(SUBSTITUTE(AQ35," ",""),1)</f>
        <v>1</v>
      </c>
      <c r="AR36" s="6"/>
      <c r="AS36" s="6">
        <f ca="1">AS34/RIGHT(SUBSTITUTE(AS35," ",""),1)</f>
        <v>6</v>
      </c>
      <c r="AT36" s="6"/>
      <c r="AU36" s="6">
        <f ca="1">AU34/RIGHT(SUBSTITUTE(AU35," ",""),1)</f>
        <v>2</v>
      </c>
      <c r="AV36" s="6"/>
      <c r="AW36" s="6">
        <f ca="1">AW34-SUBSTITUTE(SUBSTITUTE(AW35," ",""),"-","")</f>
        <v>8</v>
      </c>
      <c r="AX36" s="6"/>
      <c r="AY36" s="6">
        <f ca="1">AY34-SUBSTITUTE(SUBSTITUTE(AY35," ",""),"-","")</f>
        <v>5</v>
      </c>
      <c r="AZ36" s="6"/>
      <c r="BA36" s="6">
        <f ca="1">BA34-SUBSTITUTE(SUBSTITUTE(BA35," ",""),"-","")</f>
        <v>2</v>
      </c>
      <c r="BB36" s="6"/>
      <c r="BC36" s="6">
        <f ca="1">BC34-SUBSTITUTE(SUBSTITUTE(BC35," ",""),"-","")</f>
        <v>10</v>
      </c>
      <c r="BD36" s="6"/>
      <c r="BE36" s="6">
        <f ca="1">BE34-SUBSTITUTE(SUBSTITUTE(BE35," ",""),"-","")</f>
        <v>10</v>
      </c>
      <c r="BF36" s="6"/>
      <c r="BG36" s="6">
        <f ca="1">BG34-SUBSTITUTE(SUBSTITUTE(BG35," ",""),"-","")</f>
        <v>15</v>
      </c>
      <c r="BH36" s="6"/>
      <c r="BI36" s="6">
        <f ca="1">BI34-SUBSTITUTE(SUBSTITUTE(BI35," ",""),"-","")</f>
        <v>22</v>
      </c>
      <c r="BJ36" s="6"/>
      <c r="BK36" s="6">
        <f ca="1">BK34-SUBSTITUTE(SUBSTITUTE(BK35," ",""),"-","")</f>
        <v>4</v>
      </c>
      <c r="BL36" s="6"/>
      <c r="BM36" s="6">
        <f ca="1">BM34-SUBSTITUTE(SUBSTITUTE(BM35," ",""),"-","")</f>
        <v>2</v>
      </c>
      <c r="BN36" s="6"/>
      <c r="BO36" s="6">
        <f ca="1">BO34-SUBSTITUTE(SUBSTITUTE(BO35," ",""),"-","")</f>
        <v>2</v>
      </c>
      <c r="BP36" s="6"/>
      <c r="BQ36" s="6">
        <f ca="1">BQ34-SUBSTITUTE(SUBSTITUTE(BQ35," ",""),"-","")</f>
        <v>9</v>
      </c>
      <c r="BR36" s="6"/>
      <c r="BS36" s="6">
        <f ca="1">BS34-SUBSTITUTE(SUBSTITUTE(BS35," ",""),"-","")</f>
        <v>6</v>
      </c>
      <c r="BT36" s="6"/>
      <c r="BU36" s="6">
        <f ca="1">BU34+RIGHT(SUBSTITUTE(BU35," ",""),1)</f>
        <v>25</v>
      </c>
      <c r="BV36" s="6"/>
      <c r="BW36" s="6">
        <f ca="1">BW34+RIGHT(SUBSTITUTE(BW35," ",""),1)</f>
        <v>20</v>
      </c>
      <c r="BX36" s="6"/>
      <c r="BY36" s="6">
        <f ca="1">BY34+RIGHT(SUBSTITUTE(BY35," ",""),1)</f>
        <v>14</v>
      </c>
      <c r="BZ36" s="6"/>
      <c r="CA36" s="6">
        <f ca="1">CA34+RIGHT(SUBSTITUTE(CA35," ",""),1)</f>
        <v>13</v>
      </c>
      <c r="CB36" s="6"/>
      <c r="CC36" s="6">
        <f ca="1">CC34+RIGHT(SUBSTITUTE(CC35," ",""),1)</f>
        <v>36</v>
      </c>
      <c r="CD36" s="6"/>
      <c r="CE36" s="6">
        <f ca="1">CE34+RIGHT(SUBSTITUTE(CE35," ",""),1)</f>
        <v>10</v>
      </c>
      <c r="CF36" s="6"/>
      <c r="CG36" s="6">
        <f ca="1">CG34+RIGHT(SUBSTITUTE(CG35," ",""),1)</f>
        <v>16</v>
      </c>
      <c r="CH36" s="6"/>
      <c r="CI36" s="6">
        <f ca="1">CI34+RIGHT(SUBSTITUTE(CI35," ",""),1)</f>
        <v>21</v>
      </c>
      <c r="CJ36" s="6"/>
      <c r="CK36" s="6">
        <f ca="1">CK34+RIGHT(SUBSTITUTE(CK35," ",""),1)</f>
        <v>19</v>
      </c>
      <c r="CL36" s="6"/>
      <c r="CM36" s="6">
        <f ca="1">CM34+RIGHT(SUBSTITUTE(CM35," ",""),1)</f>
        <v>22</v>
      </c>
      <c r="CN36" s="6"/>
      <c r="CO36" s="6">
        <f ca="1">CO34+RIGHT(SUBSTITUTE(CO35," ",""),1)</f>
        <v>15</v>
      </c>
      <c r="CP36" s="6"/>
      <c r="CQ36" s="6">
        <f ca="1">CQ34+RIGHT(SUBSTITUTE(CQ35," ",""),1)</f>
        <v>23</v>
      </c>
      <c r="CR36" s="6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</row>
    <row r="37" spans="1:127" ht="23.25" customHeight="1" thickBot="1" x14ac:dyDescent="0.3">
      <c r="A37" s="3">
        <f ca="1">A11</f>
        <v>5</v>
      </c>
      <c r="C37" s="3">
        <f ca="1">C11</f>
        <v>4</v>
      </c>
      <c r="E37" s="3">
        <f ca="1">E11</f>
        <v>9</v>
      </c>
      <c r="G37" s="3">
        <f ca="1">G11</f>
        <v>5</v>
      </c>
      <c r="I37" s="3">
        <f ca="1">I11</f>
        <v>4</v>
      </c>
      <c r="K37" s="3">
        <f ca="1">K11</f>
        <v>9</v>
      </c>
      <c r="M37" s="3">
        <f ca="1">M11</f>
        <v>6</v>
      </c>
      <c r="O37" s="3">
        <f ca="1">O11</f>
        <v>4</v>
      </c>
      <c r="Q37" s="3">
        <f ca="1">Q11</f>
        <v>9</v>
      </c>
      <c r="S37" s="3">
        <f ca="1">S11</f>
        <v>9</v>
      </c>
      <c r="U37" s="3">
        <f ca="1">U11</f>
        <v>9</v>
      </c>
      <c r="W37" s="3">
        <f ca="1">W11</f>
        <v>8</v>
      </c>
      <c r="Y37" s="3">
        <f ca="1">Y11</f>
        <v>35</v>
      </c>
      <c r="AA37" s="3">
        <f ca="1">AA11</f>
        <v>4</v>
      </c>
      <c r="AC37" s="3">
        <f ca="1">AC11</f>
        <v>18</v>
      </c>
      <c r="AE37" s="3">
        <f ca="1">AE11</f>
        <v>40</v>
      </c>
      <c r="AG37" s="3">
        <f ca="1">AG11</f>
        <v>20</v>
      </c>
      <c r="AI37" s="3">
        <f ca="1">AI11</f>
        <v>9</v>
      </c>
      <c r="AK37" s="3">
        <f ca="1">AK11</f>
        <v>30</v>
      </c>
      <c r="AM37" s="3">
        <f ca="1">AM11</f>
        <v>32</v>
      </c>
      <c r="AO37" s="3">
        <f ca="1">AO11</f>
        <v>9</v>
      </c>
      <c r="AQ37" s="3">
        <f ca="1">AQ11</f>
        <v>81</v>
      </c>
      <c r="AS37" s="3" t="str">
        <f ca="1">AS11</f>
        <v>0</v>
      </c>
      <c r="AU37" s="3">
        <f ca="1">AU11</f>
        <v>24</v>
      </c>
      <c r="AW37" s="3">
        <f ca="1">AW11</f>
        <v>20</v>
      </c>
      <c r="AY37" s="3">
        <f ca="1">AY11</f>
        <v>23</v>
      </c>
      <c r="BA37" s="3">
        <f ca="1">BA11</f>
        <v>28</v>
      </c>
      <c r="BC37" s="3">
        <f ca="1">BC11</f>
        <v>6</v>
      </c>
      <c r="BE37" s="3">
        <f ca="1">BE11</f>
        <v>19</v>
      </c>
      <c r="BG37" s="3">
        <f ca="1">BG11</f>
        <v>23</v>
      </c>
      <c r="BI37" s="3">
        <f ca="1">BI11</f>
        <v>8</v>
      </c>
      <c r="BK37" s="3">
        <f ca="1">BK11</f>
        <v>12</v>
      </c>
      <c r="BM37" s="3">
        <f ca="1">BM11</f>
        <v>30</v>
      </c>
      <c r="BO37" s="3">
        <f ca="1">BO11</f>
        <v>23</v>
      </c>
      <c r="BQ37" s="3">
        <f ca="1">BQ11</f>
        <v>18</v>
      </c>
      <c r="BS37" s="3">
        <f ca="1">BS11</f>
        <v>13</v>
      </c>
      <c r="BU37" s="3">
        <f ca="1">BU11</f>
        <v>7</v>
      </c>
      <c r="BW37" s="3">
        <f ca="1">BW11</f>
        <v>23</v>
      </c>
      <c r="BY37" s="3">
        <f ca="1">BY11</f>
        <v>8</v>
      </c>
      <c r="CA37" s="3">
        <f ca="1">CA11</f>
        <v>23</v>
      </c>
      <c r="CC37" s="3">
        <f ca="1">CC11</f>
        <v>26</v>
      </c>
      <c r="CE37" s="3">
        <f ca="1">CE11</f>
        <v>10</v>
      </c>
      <c r="CG37" s="3">
        <f ca="1">CG11</f>
        <v>23</v>
      </c>
      <c r="CI37" s="3">
        <f ca="1">CI11</f>
        <v>9</v>
      </c>
      <c r="CK37" s="3">
        <f ca="1">CK11</f>
        <v>29</v>
      </c>
      <c r="CM37" s="3">
        <f ca="1">CM11</f>
        <v>17</v>
      </c>
      <c r="CO37" s="3">
        <f ca="1">CO11</f>
        <v>13</v>
      </c>
      <c r="CQ37" s="3">
        <f ca="1">CQ11</f>
        <v>10</v>
      </c>
      <c r="CS37" s="9" t="s">
        <v>4</v>
      </c>
      <c r="CT37" s="9"/>
      <c r="CU37" s="11">
        <f ca="1">CU11</f>
        <v>0.5625</v>
      </c>
      <c r="CV37" s="11"/>
      <c r="CW37" s="9" t="s">
        <v>3</v>
      </c>
      <c r="CX37" s="9"/>
      <c r="CY37" s="11">
        <f ca="1">CY11</f>
        <v>0.60416666666666663</v>
      </c>
      <c r="CZ37" s="11"/>
      <c r="DA37" s="12" t="s">
        <v>5</v>
      </c>
      <c r="DB37" s="12"/>
      <c r="DC37" s="12"/>
      <c r="DD37" s="13">
        <f ca="1">CY37-CU37</f>
        <v>4.166666666666663E-2</v>
      </c>
      <c r="DE37" s="13"/>
      <c r="DF37" s="13"/>
      <c r="DG37" s="13"/>
      <c r="DH37" s="13"/>
    </row>
    <row r="38" spans="1:127" ht="23.25" customHeight="1" thickBot="1" x14ac:dyDescent="0.3">
      <c r="A38" s="4" t="str">
        <f ca="1">A12</f>
        <v xml:space="preserve">x  7    </v>
      </c>
      <c r="C38" s="4" t="str">
        <f ca="1">C12</f>
        <v xml:space="preserve">x  1    </v>
      </c>
      <c r="E38" s="4" t="str">
        <f ca="1">E12</f>
        <v xml:space="preserve">x  2    </v>
      </c>
      <c r="G38" s="4" t="str">
        <f ca="1">G12</f>
        <v xml:space="preserve">x  8    </v>
      </c>
      <c r="I38" s="4" t="str">
        <f ca="1">I12</f>
        <v xml:space="preserve">x  5    </v>
      </c>
      <c r="K38" s="4" t="str">
        <f ca="1">K12</f>
        <v xml:space="preserve">x  1    </v>
      </c>
      <c r="M38" s="4" t="str">
        <f ca="1">M12</f>
        <v xml:space="preserve">x  5    </v>
      </c>
      <c r="O38" s="4" t="str">
        <f ca="1">O12</f>
        <v xml:space="preserve">x  8    </v>
      </c>
      <c r="Q38" s="4" t="str">
        <f ca="1">Q12</f>
        <v xml:space="preserve">x  1    </v>
      </c>
      <c r="S38" s="4" t="str">
        <f ca="1">S12</f>
        <v xml:space="preserve">x  9    </v>
      </c>
      <c r="U38" s="4" t="str">
        <f ca="1">U12</f>
        <v xml:space="preserve">x  0    </v>
      </c>
      <c r="W38" s="4" t="str">
        <f ca="1">W12</f>
        <v xml:space="preserve">x  3    </v>
      </c>
      <c r="Y38" s="4" t="str">
        <f ca="1">Y12</f>
        <v xml:space="preserve">÷  7    </v>
      </c>
      <c r="AA38" s="4" t="str">
        <f ca="1">AA12</f>
        <v xml:space="preserve">÷  1    </v>
      </c>
      <c r="AC38" s="4" t="str">
        <f ca="1">AC12</f>
        <v xml:space="preserve">÷  9    </v>
      </c>
      <c r="AE38" s="4" t="str">
        <f ca="1">AE12</f>
        <v xml:space="preserve">÷  8    </v>
      </c>
      <c r="AG38" s="4" t="str">
        <f ca="1">AG12</f>
        <v xml:space="preserve">÷  5    </v>
      </c>
      <c r="AI38" s="4" t="str">
        <f ca="1">AI12</f>
        <v xml:space="preserve">÷  1    </v>
      </c>
      <c r="AK38" s="4" t="str">
        <f ca="1">AK12</f>
        <v xml:space="preserve">÷  6    </v>
      </c>
      <c r="AM38" s="4" t="str">
        <f ca="1">AM12</f>
        <v xml:space="preserve">÷  4    </v>
      </c>
      <c r="AO38" s="4" t="str">
        <f ca="1">AO12</f>
        <v xml:space="preserve">÷  9    </v>
      </c>
      <c r="AQ38" s="4" t="str">
        <f ca="1">AQ12</f>
        <v xml:space="preserve">÷  9    </v>
      </c>
      <c r="AS38" s="4" t="str">
        <f ca="1">AS12</f>
        <v xml:space="preserve">÷  9    </v>
      </c>
      <c r="AU38" s="4" t="str">
        <f ca="1">AU12</f>
        <v xml:space="preserve">÷  3    </v>
      </c>
      <c r="AW38" s="4" t="str">
        <f ca="1">AW12</f>
        <v xml:space="preserve">-  13    </v>
      </c>
      <c r="AY38" s="4" t="str">
        <f ca="1">AY12</f>
        <v xml:space="preserve">-  12    </v>
      </c>
      <c r="BA38" s="4" t="str">
        <f ca="1">BA12</f>
        <v xml:space="preserve">-  17    </v>
      </c>
      <c r="BC38" s="4" t="str">
        <f ca="1">BC12</f>
        <v xml:space="preserve">-  1    </v>
      </c>
      <c r="BE38" s="4" t="str">
        <f ca="1">BE12</f>
        <v xml:space="preserve">-  18    </v>
      </c>
      <c r="BG38" s="4" t="str">
        <f ca="1">BG12</f>
        <v xml:space="preserve">-  16    </v>
      </c>
      <c r="BI38" s="4" t="str">
        <f ca="1">BI12</f>
        <v xml:space="preserve">-  7    </v>
      </c>
      <c r="BK38" s="4" t="str">
        <f ca="1">BK12</f>
        <v xml:space="preserve">-  6    </v>
      </c>
      <c r="BM38" s="4" t="str">
        <f ca="1">BM12</f>
        <v xml:space="preserve">-  6    </v>
      </c>
      <c r="BO38" s="4" t="str">
        <f ca="1">BO12</f>
        <v xml:space="preserve">-  10    </v>
      </c>
      <c r="BQ38" s="4" t="str">
        <f ca="1">BQ12</f>
        <v xml:space="preserve">-  16    </v>
      </c>
      <c r="BS38" s="4" t="str">
        <f ca="1">BS12</f>
        <v xml:space="preserve">-  11    </v>
      </c>
      <c r="BU38" s="4" t="str">
        <f ca="1">BU12</f>
        <v xml:space="preserve">+  1    </v>
      </c>
      <c r="BW38" s="4" t="str">
        <f ca="1">BW12</f>
        <v xml:space="preserve">+  7    </v>
      </c>
      <c r="BY38" s="4" t="str">
        <f ca="1">BY12</f>
        <v xml:space="preserve">+  5    </v>
      </c>
      <c r="CA38" s="4" t="str">
        <f ca="1">CA12</f>
        <v xml:space="preserve">+  7    </v>
      </c>
      <c r="CC38" s="4" t="str">
        <f ca="1">CC12</f>
        <v xml:space="preserve">+  22    </v>
      </c>
      <c r="CE38" s="4" t="str">
        <f ca="1">CE12</f>
        <v xml:space="preserve">+  1    </v>
      </c>
      <c r="CG38" s="4" t="str">
        <f ca="1">CG12</f>
        <v xml:space="preserve">+  11    </v>
      </c>
      <c r="CI38" s="4" t="str">
        <f ca="1">CI12</f>
        <v xml:space="preserve">+  4    </v>
      </c>
      <c r="CK38" s="4" t="str">
        <f ca="1">CK12</f>
        <v xml:space="preserve">+  7    </v>
      </c>
      <c r="CM38" s="4" t="str">
        <f ca="1">CM12</f>
        <v xml:space="preserve">+  4    </v>
      </c>
      <c r="CO38" s="4" t="str">
        <f ca="1">CO12</f>
        <v xml:space="preserve">+  8    </v>
      </c>
      <c r="CQ38" s="4" t="str">
        <f ca="1">CQ12</f>
        <v xml:space="preserve">+  6    </v>
      </c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</row>
    <row r="39" spans="1:127" ht="32.25" customHeight="1" x14ac:dyDescent="0.25">
      <c r="A39" s="6">
        <f ca="1">A37*RIGHT(SUBSTITUTE(A38," ",""),1)</f>
        <v>35</v>
      </c>
      <c r="B39" s="6"/>
      <c r="C39" s="6">
        <f ca="1">C37*RIGHT(SUBSTITUTE(C38," ",""),1)</f>
        <v>4</v>
      </c>
      <c r="D39" s="6"/>
      <c r="E39" s="6">
        <f ca="1">E37*RIGHT(SUBSTITUTE(E38," ",""),1)</f>
        <v>18</v>
      </c>
      <c r="F39" s="6"/>
      <c r="G39" s="6">
        <f ca="1">G37*RIGHT(SUBSTITUTE(G38," ",""),1)</f>
        <v>40</v>
      </c>
      <c r="H39" s="6"/>
      <c r="I39" s="6">
        <f ca="1">I37*RIGHT(SUBSTITUTE(I38," ",""),1)</f>
        <v>20</v>
      </c>
      <c r="J39" s="6"/>
      <c r="K39" s="6">
        <f ca="1">K37*RIGHT(SUBSTITUTE(K38," ",""),1)</f>
        <v>9</v>
      </c>
      <c r="L39" s="6"/>
      <c r="M39" s="6">
        <f ca="1">M37*RIGHT(SUBSTITUTE(M38," ",""),1)</f>
        <v>30</v>
      </c>
      <c r="N39" s="6"/>
      <c r="O39" s="6">
        <f ca="1">O37*RIGHT(SUBSTITUTE(O38," ",""),1)</f>
        <v>32</v>
      </c>
      <c r="P39" s="6"/>
      <c r="Q39" s="6">
        <f ca="1">Q37*RIGHT(SUBSTITUTE(Q38," ",""),1)</f>
        <v>9</v>
      </c>
      <c r="R39" s="6"/>
      <c r="S39" s="6">
        <f ca="1">S37*RIGHT(SUBSTITUTE(S38," ",""),1)</f>
        <v>81</v>
      </c>
      <c r="T39" s="6"/>
      <c r="U39" s="6">
        <f ca="1">U37*RIGHT(SUBSTITUTE(U38," ",""),1)</f>
        <v>0</v>
      </c>
      <c r="V39" s="6"/>
      <c r="W39" s="6">
        <f ca="1">W37*RIGHT(SUBSTITUTE(W38," ",""),1)</f>
        <v>24</v>
      </c>
      <c r="X39" s="5"/>
      <c r="Y39" s="6">
        <f ca="1">Y37/RIGHT(SUBSTITUTE(Y38," ",""),1)</f>
        <v>5</v>
      </c>
      <c r="Z39" s="6"/>
      <c r="AA39" s="6">
        <f ca="1">AA37/RIGHT(SUBSTITUTE(AA38," ",""),1)</f>
        <v>4</v>
      </c>
      <c r="AB39" s="6"/>
      <c r="AC39" s="6">
        <f ca="1">AC37/RIGHT(SUBSTITUTE(AC38," ",""),1)</f>
        <v>2</v>
      </c>
      <c r="AD39" s="6"/>
      <c r="AE39" s="6">
        <f ca="1">AE37/RIGHT(SUBSTITUTE(AE38," ",""),1)</f>
        <v>5</v>
      </c>
      <c r="AF39" s="6"/>
      <c r="AG39" s="6">
        <f ca="1">AG37/RIGHT(SUBSTITUTE(AG38," ",""),1)</f>
        <v>4</v>
      </c>
      <c r="AH39" s="6"/>
      <c r="AI39" s="6">
        <f ca="1">AI37/RIGHT(SUBSTITUTE(AI38," ",""),1)</f>
        <v>9</v>
      </c>
      <c r="AJ39" s="6"/>
      <c r="AK39" s="6">
        <f ca="1">AK37/RIGHT(SUBSTITUTE(AK38," ",""),1)</f>
        <v>5</v>
      </c>
      <c r="AL39" s="6"/>
      <c r="AM39" s="6">
        <f ca="1">AM37/RIGHT(SUBSTITUTE(AM38," ",""),1)</f>
        <v>8</v>
      </c>
      <c r="AN39" s="6"/>
      <c r="AO39" s="6">
        <f ca="1">AO37/RIGHT(SUBSTITUTE(AO38," ",""),1)</f>
        <v>1</v>
      </c>
      <c r="AP39" s="6"/>
      <c r="AQ39" s="6">
        <f ca="1">AQ37/RIGHT(SUBSTITUTE(AQ38," ",""),1)</f>
        <v>9</v>
      </c>
      <c r="AR39" s="6"/>
      <c r="AS39" s="6">
        <f ca="1">AS37/RIGHT(SUBSTITUTE(AS38," ",""),1)</f>
        <v>0</v>
      </c>
      <c r="AT39" s="6"/>
      <c r="AU39" s="6">
        <f ca="1">AU37/RIGHT(SUBSTITUTE(AU38," ",""),1)</f>
        <v>8</v>
      </c>
      <c r="AV39" s="6"/>
      <c r="AW39" s="6">
        <f ca="1">AW37-SUBSTITUTE(SUBSTITUTE(AW38," ",""),"-","")</f>
        <v>7</v>
      </c>
      <c r="AX39" s="6"/>
      <c r="AY39" s="6">
        <f ca="1">AY37-SUBSTITUTE(SUBSTITUTE(AY38," ",""),"-","")</f>
        <v>11</v>
      </c>
      <c r="AZ39" s="6"/>
      <c r="BA39" s="6">
        <f ca="1">BA37-SUBSTITUTE(SUBSTITUTE(BA38," ",""),"-","")</f>
        <v>11</v>
      </c>
      <c r="BB39" s="6"/>
      <c r="BC39" s="6">
        <f ca="1">BC37-SUBSTITUTE(SUBSTITUTE(BC38," ",""),"-","")</f>
        <v>5</v>
      </c>
      <c r="BD39" s="6"/>
      <c r="BE39" s="6">
        <f ca="1">BE37-SUBSTITUTE(SUBSTITUTE(BE38," ",""),"-","")</f>
        <v>1</v>
      </c>
      <c r="BF39" s="6"/>
      <c r="BG39" s="6">
        <f ca="1">BG37-SUBSTITUTE(SUBSTITUTE(BG38," ",""),"-","")</f>
        <v>7</v>
      </c>
      <c r="BH39" s="6"/>
      <c r="BI39" s="6">
        <f ca="1">BI37-SUBSTITUTE(SUBSTITUTE(BI38," ",""),"-","")</f>
        <v>1</v>
      </c>
      <c r="BJ39" s="6"/>
      <c r="BK39" s="6">
        <f ca="1">BK37-SUBSTITUTE(SUBSTITUTE(BK38," ",""),"-","")</f>
        <v>6</v>
      </c>
      <c r="BL39" s="6"/>
      <c r="BM39" s="6">
        <f ca="1">BM37-SUBSTITUTE(SUBSTITUTE(BM38," ",""),"-","")</f>
        <v>24</v>
      </c>
      <c r="BN39" s="6"/>
      <c r="BO39" s="6">
        <f ca="1">BO37-SUBSTITUTE(SUBSTITUTE(BO38," ",""),"-","")</f>
        <v>13</v>
      </c>
      <c r="BP39" s="6"/>
      <c r="BQ39" s="6">
        <f ca="1">BQ37-SUBSTITUTE(SUBSTITUTE(BQ38," ",""),"-","")</f>
        <v>2</v>
      </c>
      <c r="BR39" s="6"/>
      <c r="BS39" s="6">
        <f ca="1">BS37-SUBSTITUTE(SUBSTITUTE(BS38," ",""),"-","")</f>
        <v>2</v>
      </c>
      <c r="BT39" s="6"/>
      <c r="BU39" s="6">
        <f ca="1">BU37+RIGHT(SUBSTITUTE(BU38," ",""),1)</f>
        <v>8</v>
      </c>
      <c r="BV39" s="6"/>
      <c r="BW39" s="6">
        <f ca="1">BW37+RIGHT(SUBSTITUTE(BW38," ",""),1)</f>
        <v>30</v>
      </c>
      <c r="BX39" s="6"/>
      <c r="BY39" s="6">
        <f ca="1">BY37+RIGHT(SUBSTITUTE(BY38," ",""),1)</f>
        <v>13</v>
      </c>
      <c r="BZ39" s="6"/>
      <c r="CA39" s="6">
        <f ca="1">CA37+RIGHT(SUBSTITUTE(CA38," ",""),1)</f>
        <v>30</v>
      </c>
      <c r="CB39" s="6"/>
      <c r="CC39" s="6">
        <f ca="1">CC37+RIGHT(SUBSTITUTE(CC38," ",""),1)</f>
        <v>28</v>
      </c>
      <c r="CD39" s="6"/>
      <c r="CE39" s="6">
        <f ca="1">CE37+RIGHT(SUBSTITUTE(CE38," ",""),1)</f>
        <v>11</v>
      </c>
      <c r="CF39" s="6"/>
      <c r="CG39" s="6">
        <f ca="1">CG37+RIGHT(SUBSTITUTE(CG38," ",""),1)</f>
        <v>24</v>
      </c>
      <c r="CH39" s="6"/>
      <c r="CI39" s="6">
        <f ca="1">CI37+RIGHT(SUBSTITUTE(CI38," ",""),1)</f>
        <v>13</v>
      </c>
      <c r="CJ39" s="6"/>
      <c r="CK39" s="6">
        <f ca="1">CK37+RIGHT(SUBSTITUTE(CK38," ",""),1)</f>
        <v>36</v>
      </c>
      <c r="CL39" s="6"/>
      <c r="CM39" s="6">
        <f ca="1">CM37+RIGHT(SUBSTITUTE(CM38," ",""),1)</f>
        <v>21</v>
      </c>
      <c r="CN39" s="6"/>
      <c r="CO39" s="6">
        <f ca="1">CO37+RIGHT(SUBSTITUTE(CO38," ",""),1)</f>
        <v>21</v>
      </c>
      <c r="CP39" s="6"/>
      <c r="CQ39" s="6">
        <f ca="1">CQ37+RIGHT(SUBSTITUTE(CQ38," ",""),1)</f>
        <v>16</v>
      </c>
      <c r="CR39" s="6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</row>
    <row r="40" spans="1:127" ht="23.25" customHeight="1" thickBot="1" x14ac:dyDescent="0.3">
      <c r="A40" s="3">
        <f ca="1">A14</f>
        <v>4</v>
      </c>
      <c r="C40" s="3">
        <f ca="1">C14</f>
        <v>1</v>
      </c>
      <c r="E40" s="3">
        <f ca="1">E14</f>
        <v>5</v>
      </c>
      <c r="G40" s="3">
        <f ca="1">G14</f>
        <v>1</v>
      </c>
      <c r="I40" s="3">
        <f ca="1">I14</f>
        <v>8</v>
      </c>
      <c r="K40" s="3">
        <f ca="1">K14</f>
        <v>2</v>
      </c>
      <c r="M40" s="3">
        <f ca="1">M14</f>
        <v>6</v>
      </c>
      <c r="O40" s="3">
        <f ca="1">O14</f>
        <v>4</v>
      </c>
      <c r="Q40" s="3">
        <f ca="1">Q14</f>
        <v>9</v>
      </c>
      <c r="S40" s="3">
        <f ca="1">S14</f>
        <v>5</v>
      </c>
      <c r="U40" s="3">
        <f ca="1">U14</f>
        <v>3</v>
      </c>
      <c r="W40" s="3">
        <f ca="1">W14</f>
        <v>5</v>
      </c>
      <c r="Y40" s="3">
        <f ca="1">Y14</f>
        <v>8</v>
      </c>
      <c r="AA40" s="3">
        <f ca="1">AA14</f>
        <v>6</v>
      </c>
      <c r="AC40" s="3">
        <f ca="1">AC14</f>
        <v>15</v>
      </c>
      <c r="AE40" s="3">
        <f ca="1">AE14</f>
        <v>3</v>
      </c>
      <c r="AG40" s="3">
        <f ca="1">AG14</f>
        <v>24</v>
      </c>
      <c r="AI40" s="3" t="str">
        <f ca="1">AI14</f>
        <v>0</v>
      </c>
      <c r="AK40" s="3" t="str">
        <f ca="1">AK14</f>
        <v>0</v>
      </c>
      <c r="AM40" s="3">
        <f ca="1">AM14</f>
        <v>36</v>
      </c>
      <c r="AO40" s="3" t="str">
        <f ca="1">AO14</f>
        <v>0</v>
      </c>
      <c r="AQ40" s="3">
        <f ca="1">AQ14</f>
        <v>25</v>
      </c>
      <c r="AS40" s="3">
        <f ca="1">AS14</f>
        <v>15</v>
      </c>
      <c r="AU40" s="3">
        <f ca="1">AU14</f>
        <v>15</v>
      </c>
      <c r="AW40" s="3">
        <f ca="1">AW14</f>
        <v>28</v>
      </c>
      <c r="AY40" s="3">
        <f ca="1">AY14</f>
        <v>27</v>
      </c>
      <c r="BA40" s="3">
        <f ca="1">BA14</f>
        <v>22</v>
      </c>
      <c r="BC40" s="3">
        <f ca="1">BC14</f>
        <v>28</v>
      </c>
      <c r="BE40" s="3">
        <f ca="1">BE14</f>
        <v>25</v>
      </c>
      <c r="BG40" s="3">
        <f ca="1">BG14</f>
        <v>11</v>
      </c>
      <c r="BI40" s="3">
        <f ca="1">BI14</f>
        <v>28</v>
      </c>
      <c r="BK40" s="3">
        <f ca="1">BK14</f>
        <v>23</v>
      </c>
      <c r="BM40" s="3">
        <f ca="1">BM14</f>
        <v>21</v>
      </c>
      <c r="BO40" s="3">
        <f ca="1">BO14</f>
        <v>22</v>
      </c>
      <c r="BQ40" s="3">
        <f ca="1">BQ14</f>
        <v>20</v>
      </c>
      <c r="BS40" s="3">
        <f ca="1">BS14</f>
        <v>22</v>
      </c>
      <c r="BU40" s="3">
        <f ca="1">BU14</f>
        <v>18</v>
      </c>
      <c r="BW40" s="3">
        <f ca="1">BW14</f>
        <v>16</v>
      </c>
      <c r="BY40" s="3">
        <f ca="1">BY14</f>
        <v>11</v>
      </c>
      <c r="CA40" s="3">
        <f ca="1">CA14</f>
        <v>24</v>
      </c>
      <c r="CC40" s="3">
        <f ca="1">CC14</f>
        <v>17</v>
      </c>
      <c r="CE40" s="3">
        <f ca="1">CE14</f>
        <v>21</v>
      </c>
      <c r="CG40" s="3">
        <f ca="1">CG14</f>
        <v>15</v>
      </c>
      <c r="CI40" s="3">
        <f ca="1">CI14</f>
        <v>29</v>
      </c>
      <c r="CK40" s="3">
        <f ca="1">CK14</f>
        <v>9</v>
      </c>
      <c r="CM40" s="3">
        <f ca="1">CM14</f>
        <v>30</v>
      </c>
      <c r="CO40" s="3">
        <f ca="1">CO14</f>
        <v>7</v>
      </c>
      <c r="CQ40" s="3">
        <f ca="1">CQ14</f>
        <v>30</v>
      </c>
      <c r="CS40" s="9" t="s">
        <v>4</v>
      </c>
      <c r="CT40" s="9"/>
      <c r="CU40" s="11">
        <f ca="1">CU14</f>
        <v>0.55208333333333326</v>
      </c>
      <c r="CV40" s="11"/>
      <c r="CW40" s="9" t="s">
        <v>3</v>
      </c>
      <c r="CX40" s="9"/>
      <c r="CY40" s="11">
        <f ca="1">CY14</f>
        <v>0.60416666666666663</v>
      </c>
      <c r="CZ40" s="11"/>
      <c r="DA40" s="12" t="s">
        <v>5</v>
      </c>
      <c r="DB40" s="12"/>
      <c r="DC40" s="12"/>
      <c r="DD40" s="13">
        <f ca="1">CY40-CU40</f>
        <v>5.208333333333337E-2</v>
      </c>
      <c r="DE40" s="13"/>
      <c r="DF40" s="13"/>
      <c r="DG40" s="13"/>
      <c r="DH40" s="13"/>
    </row>
    <row r="41" spans="1:127" ht="23.25" customHeight="1" thickBot="1" x14ac:dyDescent="0.3">
      <c r="A41" s="4" t="str">
        <f ca="1">A15</f>
        <v xml:space="preserve">x  2    </v>
      </c>
      <c r="C41" s="4" t="str">
        <f ca="1">C15</f>
        <v xml:space="preserve">x  6    </v>
      </c>
      <c r="E41" s="4" t="str">
        <f ca="1">E15</f>
        <v xml:space="preserve">x  3    </v>
      </c>
      <c r="G41" s="4" t="str">
        <f ca="1">G15</f>
        <v xml:space="preserve">x  3    </v>
      </c>
      <c r="I41" s="4" t="str">
        <f ca="1">I15</f>
        <v xml:space="preserve">x  3    </v>
      </c>
      <c r="K41" s="4" t="str">
        <f ca="1">K15</f>
        <v xml:space="preserve">x  0    </v>
      </c>
      <c r="M41" s="4" t="str">
        <f ca="1">M15</f>
        <v xml:space="preserve">x  0    </v>
      </c>
      <c r="O41" s="4" t="str">
        <f ca="1">O15</f>
        <v xml:space="preserve">x  9    </v>
      </c>
      <c r="Q41" s="4" t="str">
        <f ca="1">Q15</f>
        <v xml:space="preserve">x  0    </v>
      </c>
      <c r="S41" s="4" t="str">
        <f ca="1">S15</f>
        <v xml:space="preserve">x  5    </v>
      </c>
      <c r="U41" s="4" t="str">
        <f ca="1">U15</f>
        <v xml:space="preserve">x  5    </v>
      </c>
      <c r="W41" s="4" t="str">
        <f ca="1">W15</f>
        <v xml:space="preserve">x  3    </v>
      </c>
      <c r="Y41" s="4" t="str">
        <f ca="1">Y15</f>
        <v xml:space="preserve">÷  4    </v>
      </c>
      <c r="AA41" s="4" t="str">
        <f ca="1">AA15</f>
        <v xml:space="preserve">÷  1    </v>
      </c>
      <c r="AC41" s="4" t="str">
        <f ca="1">AC15</f>
        <v xml:space="preserve">÷  3    </v>
      </c>
      <c r="AE41" s="4" t="str">
        <f ca="1">AE15</f>
        <v xml:space="preserve">÷  3    </v>
      </c>
      <c r="AG41" s="4" t="str">
        <f ca="1">AG15</f>
        <v xml:space="preserve">÷  3    </v>
      </c>
      <c r="AI41" s="4" t="str">
        <f ca="1">AI15</f>
        <v xml:space="preserve">÷  2    </v>
      </c>
      <c r="AK41" s="4" t="str">
        <f ca="1">AK15</f>
        <v xml:space="preserve">÷  6    </v>
      </c>
      <c r="AM41" s="4" t="str">
        <f ca="1">AM15</f>
        <v xml:space="preserve">÷  4    </v>
      </c>
      <c r="AO41" s="4" t="str">
        <f ca="1">AO15</f>
        <v xml:space="preserve">÷  9    </v>
      </c>
      <c r="AQ41" s="4" t="str">
        <f ca="1">AQ15</f>
        <v xml:space="preserve">÷  5    </v>
      </c>
      <c r="AS41" s="4" t="str">
        <f ca="1">AS15</f>
        <v xml:space="preserve">÷  5    </v>
      </c>
      <c r="AU41" s="4" t="str">
        <f ca="1">AU15</f>
        <v xml:space="preserve">÷  5    </v>
      </c>
      <c r="AW41" s="4" t="str">
        <f ca="1">AW15</f>
        <v xml:space="preserve">-  9    </v>
      </c>
      <c r="AY41" s="4" t="str">
        <f ca="1">AY15</f>
        <v xml:space="preserve">-  21    </v>
      </c>
      <c r="BA41" s="4" t="str">
        <f ca="1">BA15</f>
        <v xml:space="preserve">-  2    </v>
      </c>
      <c r="BC41" s="4" t="str">
        <f ca="1">BC15</f>
        <v xml:space="preserve">-  27    </v>
      </c>
      <c r="BE41" s="4" t="str">
        <f ca="1">BE15</f>
        <v xml:space="preserve">-  15    </v>
      </c>
      <c r="BG41" s="4" t="str">
        <f ca="1">BG15</f>
        <v xml:space="preserve">-  7    </v>
      </c>
      <c r="BI41" s="4" t="str">
        <f ca="1">BI15</f>
        <v xml:space="preserve">-  11    </v>
      </c>
      <c r="BK41" s="4" t="str">
        <f ca="1">BK15</f>
        <v xml:space="preserve">-  12    </v>
      </c>
      <c r="BM41" s="4" t="str">
        <f ca="1">BM15</f>
        <v xml:space="preserve">-  13    </v>
      </c>
      <c r="BO41" s="4" t="str">
        <f ca="1">BO15</f>
        <v xml:space="preserve">-  20    </v>
      </c>
      <c r="BQ41" s="4" t="str">
        <f ca="1">BQ15</f>
        <v xml:space="preserve">-  19    </v>
      </c>
      <c r="BS41" s="4" t="str">
        <f ca="1">BS15</f>
        <v xml:space="preserve">-  5    </v>
      </c>
      <c r="BU41" s="4" t="str">
        <f ca="1">BU15</f>
        <v xml:space="preserve">+  8    </v>
      </c>
      <c r="BW41" s="4" t="str">
        <f ca="1">BW15</f>
        <v xml:space="preserve">+  3    </v>
      </c>
      <c r="BY41" s="4" t="str">
        <f ca="1">BY15</f>
        <v xml:space="preserve">+  5    </v>
      </c>
      <c r="CA41" s="4" t="str">
        <f ca="1">CA15</f>
        <v xml:space="preserve">+  11    </v>
      </c>
      <c r="CC41" s="4" t="str">
        <f ca="1">CC15</f>
        <v xml:space="preserve">+  2    </v>
      </c>
      <c r="CE41" s="4" t="str">
        <f ca="1">CE15</f>
        <v xml:space="preserve">+  13    </v>
      </c>
      <c r="CG41" s="4" t="str">
        <f ca="1">CG15</f>
        <v xml:space="preserve">+  7    </v>
      </c>
      <c r="CI41" s="4" t="str">
        <f ca="1">CI15</f>
        <v xml:space="preserve">+  27    </v>
      </c>
      <c r="CK41" s="4" t="str">
        <f ca="1">CK15</f>
        <v xml:space="preserve">+  1    </v>
      </c>
      <c r="CM41" s="4" t="str">
        <f ca="1">CM15</f>
        <v xml:space="preserve">+  6    </v>
      </c>
      <c r="CO41" s="4" t="str">
        <f ca="1">CO15</f>
        <v xml:space="preserve">+  3    </v>
      </c>
      <c r="CQ41" s="4" t="str">
        <f ca="1">CQ15</f>
        <v xml:space="preserve">+  1    </v>
      </c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</row>
    <row r="42" spans="1:127" ht="32.25" customHeight="1" x14ac:dyDescent="0.25">
      <c r="A42" s="6">
        <f ca="1">A40*RIGHT(SUBSTITUTE(A41," ",""),1)</f>
        <v>8</v>
      </c>
      <c r="B42" s="6"/>
      <c r="C42" s="6">
        <f ca="1">C40*RIGHT(SUBSTITUTE(C41," ",""),1)</f>
        <v>6</v>
      </c>
      <c r="D42" s="6"/>
      <c r="E42" s="6">
        <f ca="1">E40*RIGHT(SUBSTITUTE(E41," ",""),1)</f>
        <v>15</v>
      </c>
      <c r="F42" s="6"/>
      <c r="G42" s="6">
        <f ca="1">G40*RIGHT(SUBSTITUTE(G41," ",""),1)</f>
        <v>3</v>
      </c>
      <c r="H42" s="6"/>
      <c r="I42" s="6">
        <f ca="1">I40*RIGHT(SUBSTITUTE(I41," ",""),1)</f>
        <v>24</v>
      </c>
      <c r="J42" s="6"/>
      <c r="K42" s="6">
        <f ca="1">K40*RIGHT(SUBSTITUTE(K41," ",""),1)</f>
        <v>0</v>
      </c>
      <c r="L42" s="6"/>
      <c r="M42" s="6">
        <f ca="1">M40*RIGHT(SUBSTITUTE(M41," ",""),1)</f>
        <v>0</v>
      </c>
      <c r="N42" s="6"/>
      <c r="O42" s="6">
        <f ca="1">O40*RIGHT(SUBSTITUTE(O41," ",""),1)</f>
        <v>36</v>
      </c>
      <c r="P42" s="6"/>
      <c r="Q42" s="6">
        <f ca="1">Q40*RIGHT(SUBSTITUTE(Q41," ",""),1)</f>
        <v>0</v>
      </c>
      <c r="R42" s="6"/>
      <c r="S42" s="6">
        <f ca="1">S40*RIGHT(SUBSTITUTE(S41," ",""),1)</f>
        <v>25</v>
      </c>
      <c r="T42" s="6"/>
      <c r="U42" s="6">
        <f ca="1">U40*RIGHT(SUBSTITUTE(U41," ",""),1)</f>
        <v>15</v>
      </c>
      <c r="V42" s="6"/>
      <c r="W42" s="6">
        <f ca="1">W40*RIGHT(SUBSTITUTE(W41," ",""),1)</f>
        <v>15</v>
      </c>
      <c r="X42" s="5"/>
      <c r="Y42" s="6">
        <f ca="1">Y40/RIGHT(SUBSTITUTE(Y41," ",""),1)</f>
        <v>2</v>
      </c>
      <c r="Z42" s="6"/>
      <c r="AA42" s="6">
        <f ca="1">AA40/RIGHT(SUBSTITUTE(AA41," ",""),1)</f>
        <v>6</v>
      </c>
      <c r="AB42" s="6"/>
      <c r="AC42" s="6">
        <f ca="1">AC40/RIGHT(SUBSTITUTE(AC41," ",""),1)</f>
        <v>5</v>
      </c>
      <c r="AD42" s="6"/>
      <c r="AE42" s="6">
        <f ca="1">AE40/RIGHT(SUBSTITUTE(AE41," ",""),1)</f>
        <v>1</v>
      </c>
      <c r="AF42" s="6"/>
      <c r="AG42" s="6">
        <f ca="1">AG40/RIGHT(SUBSTITUTE(AG41," ",""),1)</f>
        <v>8</v>
      </c>
      <c r="AH42" s="6"/>
      <c r="AI42" s="6">
        <f ca="1">AI40/RIGHT(SUBSTITUTE(AI41," ",""),1)</f>
        <v>0</v>
      </c>
      <c r="AJ42" s="6"/>
      <c r="AK42" s="6">
        <f ca="1">AK40/RIGHT(SUBSTITUTE(AK41," ",""),1)</f>
        <v>0</v>
      </c>
      <c r="AL42" s="6"/>
      <c r="AM42" s="6">
        <f ca="1">AM40/RIGHT(SUBSTITUTE(AM41," ",""),1)</f>
        <v>9</v>
      </c>
      <c r="AN42" s="6"/>
      <c r="AO42" s="6">
        <f ca="1">AO40/RIGHT(SUBSTITUTE(AO41," ",""),1)</f>
        <v>0</v>
      </c>
      <c r="AP42" s="6"/>
      <c r="AQ42" s="6">
        <f ca="1">AQ40/RIGHT(SUBSTITUTE(AQ41," ",""),1)</f>
        <v>5</v>
      </c>
      <c r="AR42" s="6"/>
      <c r="AS42" s="6">
        <f ca="1">AS40/RIGHT(SUBSTITUTE(AS41," ",""),1)</f>
        <v>3</v>
      </c>
      <c r="AT42" s="6"/>
      <c r="AU42" s="6">
        <f ca="1">AU40/RIGHT(SUBSTITUTE(AU41," ",""),1)</f>
        <v>3</v>
      </c>
      <c r="AV42" s="6"/>
      <c r="AW42" s="6">
        <f ca="1">AW40-SUBSTITUTE(SUBSTITUTE(AW41," ",""),"-","")</f>
        <v>19</v>
      </c>
      <c r="AX42" s="6"/>
      <c r="AY42" s="6">
        <f ca="1">AY40-SUBSTITUTE(SUBSTITUTE(AY41," ",""),"-","")</f>
        <v>6</v>
      </c>
      <c r="AZ42" s="6"/>
      <c r="BA42" s="6">
        <f ca="1">BA40-SUBSTITUTE(SUBSTITUTE(BA41," ",""),"-","")</f>
        <v>20</v>
      </c>
      <c r="BB42" s="6"/>
      <c r="BC42" s="6">
        <f ca="1">BC40-SUBSTITUTE(SUBSTITUTE(BC41," ",""),"-","")</f>
        <v>1</v>
      </c>
      <c r="BD42" s="6"/>
      <c r="BE42" s="6">
        <f ca="1">BE40-SUBSTITUTE(SUBSTITUTE(BE41," ",""),"-","")</f>
        <v>10</v>
      </c>
      <c r="BF42" s="6"/>
      <c r="BG42" s="6">
        <f ca="1">BG40-SUBSTITUTE(SUBSTITUTE(BG41," ",""),"-","")</f>
        <v>4</v>
      </c>
      <c r="BH42" s="6"/>
      <c r="BI42" s="6">
        <f ca="1">BI40-SUBSTITUTE(SUBSTITUTE(BI41," ",""),"-","")</f>
        <v>17</v>
      </c>
      <c r="BJ42" s="6"/>
      <c r="BK42" s="6">
        <f ca="1">BK40-SUBSTITUTE(SUBSTITUTE(BK41," ",""),"-","")</f>
        <v>11</v>
      </c>
      <c r="BL42" s="6"/>
      <c r="BM42" s="6">
        <f ca="1">BM40-SUBSTITUTE(SUBSTITUTE(BM41," ",""),"-","")</f>
        <v>8</v>
      </c>
      <c r="BN42" s="6"/>
      <c r="BO42" s="6">
        <f ca="1">BO40-SUBSTITUTE(SUBSTITUTE(BO41," ",""),"-","")</f>
        <v>2</v>
      </c>
      <c r="BP42" s="6"/>
      <c r="BQ42" s="6">
        <f ca="1">BQ40-SUBSTITUTE(SUBSTITUTE(BQ41," ",""),"-","")</f>
        <v>1</v>
      </c>
      <c r="BR42" s="6"/>
      <c r="BS42" s="6">
        <f ca="1">BS40-SUBSTITUTE(SUBSTITUTE(BS41," ",""),"-","")</f>
        <v>17</v>
      </c>
      <c r="BT42" s="6"/>
      <c r="BU42" s="6">
        <f ca="1">BU40+RIGHT(SUBSTITUTE(BU41," ",""),1)</f>
        <v>26</v>
      </c>
      <c r="BV42" s="6"/>
      <c r="BW42" s="6">
        <f ca="1">BW40+RIGHT(SUBSTITUTE(BW41," ",""),1)</f>
        <v>19</v>
      </c>
      <c r="BX42" s="6"/>
      <c r="BY42" s="6">
        <f ca="1">BY40+RIGHT(SUBSTITUTE(BY41," ",""),1)</f>
        <v>16</v>
      </c>
      <c r="BZ42" s="6"/>
      <c r="CA42" s="6">
        <f ca="1">CA40+RIGHT(SUBSTITUTE(CA41," ",""),1)</f>
        <v>25</v>
      </c>
      <c r="CB42" s="6"/>
      <c r="CC42" s="6">
        <f ca="1">CC40+RIGHT(SUBSTITUTE(CC41," ",""),1)</f>
        <v>19</v>
      </c>
      <c r="CD42" s="6"/>
      <c r="CE42" s="6">
        <f ca="1">CE40+RIGHT(SUBSTITUTE(CE41," ",""),1)</f>
        <v>24</v>
      </c>
      <c r="CF42" s="6"/>
      <c r="CG42" s="6">
        <f ca="1">CG40+RIGHT(SUBSTITUTE(CG41," ",""),1)</f>
        <v>22</v>
      </c>
      <c r="CH42" s="6"/>
      <c r="CI42" s="6">
        <f ca="1">CI40+RIGHT(SUBSTITUTE(CI41," ",""),1)</f>
        <v>36</v>
      </c>
      <c r="CJ42" s="6"/>
      <c r="CK42" s="6">
        <f ca="1">CK40+RIGHT(SUBSTITUTE(CK41," ",""),1)</f>
        <v>10</v>
      </c>
      <c r="CL42" s="6"/>
      <c r="CM42" s="6">
        <f ca="1">CM40+RIGHT(SUBSTITUTE(CM41," ",""),1)</f>
        <v>36</v>
      </c>
      <c r="CN42" s="6"/>
      <c r="CO42" s="6">
        <f ca="1">CO40+RIGHT(SUBSTITUTE(CO41," ",""),1)</f>
        <v>10</v>
      </c>
      <c r="CP42" s="6"/>
      <c r="CQ42" s="6">
        <f ca="1">CQ40+RIGHT(SUBSTITUTE(CQ41," ",""),1)</f>
        <v>31</v>
      </c>
      <c r="CR42" s="6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16" t="str">
        <f ca="1" xml:space="preserve"> "TIME:   " &amp; TEXT(Sheet3!$B4, "HH:MM am/pm")</f>
        <v>TIME:   05:47 AM</v>
      </c>
      <c r="DJ42" s="16"/>
      <c r="DK42" s="16"/>
      <c r="DL42" s="16"/>
      <c r="DM42" s="16"/>
      <c r="DN42" s="16" t="str">
        <f ca="1" xml:space="preserve"> "TIME:   " &amp; TEXT(Sheet3!$B5, "HH:MM am/pm")</f>
        <v>TIME:   06:41 PM</v>
      </c>
      <c r="DO42" s="16"/>
      <c r="DP42" s="16"/>
      <c r="DQ42" s="16"/>
      <c r="DR42" s="16"/>
      <c r="DS42" s="16" t="str">
        <f ca="1" xml:space="preserve"> "TIME:   " &amp; TEXT(Sheet3!$B6, "HH:MM am/pm")</f>
        <v>TIME:   02:10 PM</v>
      </c>
      <c r="DT42" s="16"/>
      <c r="DU42" s="16"/>
      <c r="DV42" s="16"/>
      <c r="DW42" s="16"/>
    </row>
    <row r="43" spans="1:127" ht="23.25" customHeight="1" thickBot="1" x14ac:dyDescent="0.3">
      <c r="A43" s="3">
        <f ca="1">A17</f>
        <v>5</v>
      </c>
      <c r="C43" s="3">
        <f ca="1">C17</f>
        <v>9</v>
      </c>
      <c r="E43" s="3">
        <f ca="1">E17</f>
        <v>5</v>
      </c>
      <c r="G43" s="3">
        <f ca="1">G17</f>
        <v>3</v>
      </c>
      <c r="I43" s="3">
        <f ca="1">I17</f>
        <v>1</v>
      </c>
      <c r="K43" s="3">
        <f ca="1">K17</f>
        <v>4</v>
      </c>
      <c r="M43" s="3">
        <f ca="1">M17</f>
        <v>2</v>
      </c>
      <c r="O43" s="3">
        <f ca="1">O17</f>
        <v>3</v>
      </c>
      <c r="Q43" s="3">
        <f ca="1">Q17</f>
        <v>5</v>
      </c>
      <c r="S43" s="3">
        <f ca="1">S17</f>
        <v>8</v>
      </c>
      <c r="U43" s="3">
        <f ca="1">U17</f>
        <v>7</v>
      </c>
      <c r="W43" s="3">
        <f ca="1">W17</f>
        <v>8</v>
      </c>
      <c r="Y43" s="3">
        <f ca="1">Y17</f>
        <v>35</v>
      </c>
      <c r="AA43" s="3">
        <f ca="1">AA17</f>
        <v>63</v>
      </c>
      <c r="AC43" s="3">
        <f ca="1">AC17</f>
        <v>15</v>
      </c>
      <c r="AE43" s="3">
        <f ca="1">AE17</f>
        <v>3</v>
      </c>
      <c r="AG43" s="3">
        <f ca="1">AG17</f>
        <v>8</v>
      </c>
      <c r="AI43" s="3" t="str">
        <f ca="1">AI17</f>
        <v>0</v>
      </c>
      <c r="AK43" s="3">
        <f ca="1">AK17</f>
        <v>8</v>
      </c>
      <c r="AM43" s="3">
        <f ca="1">AM17</f>
        <v>3</v>
      </c>
      <c r="AO43" s="3">
        <f ca="1">AO17</f>
        <v>35</v>
      </c>
      <c r="AQ43" s="3" t="str">
        <f ca="1">AQ17</f>
        <v>0</v>
      </c>
      <c r="AS43" s="3">
        <f ca="1">AS17</f>
        <v>49</v>
      </c>
      <c r="AU43" s="3">
        <f ca="1">AU17</f>
        <v>16</v>
      </c>
      <c r="AW43" s="3">
        <f ca="1">AW17</f>
        <v>28</v>
      </c>
      <c r="AY43" s="3">
        <f ca="1">AY17</f>
        <v>20</v>
      </c>
      <c r="BA43" s="3">
        <f ca="1">BA17</f>
        <v>5</v>
      </c>
      <c r="BC43" s="3">
        <f ca="1">BC17</f>
        <v>26</v>
      </c>
      <c r="BE43" s="3">
        <f ca="1">BE17</f>
        <v>5</v>
      </c>
      <c r="BG43" s="3">
        <f ca="1">BG17</f>
        <v>17</v>
      </c>
      <c r="BI43" s="3">
        <f ca="1">BI17</f>
        <v>30</v>
      </c>
      <c r="BK43" s="3">
        <f ca="1">BK17</f>
        <v>6</v>
      </c>
      <c r="BM43" s="3">
        <f ca="1">BM17</f>
        <v>8</v>
      </c>
      <c r="BO43" s="3">
        <f ca="1">BO17</f>
        <v>13</v>
      </c>
      <c r="BQ43" s="3">
        <f ca="1">BQ17</f>
        <v>6</v>
      </c>
      <c r="BS43" s="3">
        <f ca="1">BS17</f>
        <v>6</v>
      </c>
      <c r="BU43" s="3">
        <f ca="1">BU17</f>
        <v>17</v>
      </c>
      <c r="BW43" s="3">
        <f ca="1">BW17</f>
        <v>24</v>
      </c>
      <c r="BY43" s="3">
        <f ca="1">BY17</f>
        <v>20</v>
      </c>
      <c r="CA43" s="3">
        <f ca="1">CA17</f>
        <v>26</v>
      </c>
      <c r="CC43" s="3">
        <f ca="1">CC17</f>
        <v>20</v>
      </c>
      <c r="CE43" s="3">
        <f ca="1">CE17</f>
        <v>14</v>
      </c>
      <c r="CG43" s="3">
        <f ca="1">CG17</f>
        <v>22</v>
      </c>
      <c r="CI43" s="3">
        <f ca="1">CI17</f>
        <v>15</v>
      </c>
      <c r="CK43" s="3">
        <f ca="1">CK17</f>
        <v>10</v>
      </c>
      <c r="CM43" s="3">
        <f ca="1">CM17</f>
        <v>10</v>
      </c>
      <c r="CO43" s="3">
        <f ca="1">CO17</f>
        <v>12</v>
      </c>
      <c r="CQ43" s="3">
        <f ca="1">CQ17</f>
        <v>12</v>
      </c>
      <c r="CS43" s="9" t="s">
        <v>4</v>
      </c>
      <c r="CT43" s="9"/>
      <c r="CU43" s="11">
        <f ca="1">CU17</f>
        <v>0.62569444444444444</v>
      </c>
      <c r="CV43" s="11"/>
      <c r="CW43" s="9" t="s">
        <v>3</v>
      </c>
      <c r="CX43" s="9"/>
      <c r="CY43" s="11">
        <f ca="1">CY17</f>
        <v>0.85555555555555562</v>
      </c>
      <c r="CZ43" s="11"/>
      <c r="DA43" s="12" t="s">
        <v>5</v>
      </c>
      <c r="DB43" s="12"/>
      <c r="DC43" s="12"/>
      <c r="DD43" s="13">
        <f ca="1">CY43-CU43</f>
        <v>0.22986111111111118</v>
      </c>
      <c r="DE43" s="13"/>
      <c r="DF43" s="13"/>
      <c r="DG43" s="13"/>
      <c r="DH43" s="13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</row>
    <row r="44" spans="1:127" ht="23.25" customHeight="1" thickBot="1" x14ac:dyDescent="0.3">
      <c r="A44" s="4" t="str">
        <f ca="1">A18</f>
        <v xml:space="preserve">x  7    </v>
      </c>
      <c r="C44" s="4" t="str">
        <f ca="1">C18</f>
        <v xml:space="preserve">x  7    </v>
      </c>
      <c r="E44" s="4" t="str">
        <f ca="1">E18</f>
        <v xml:space="preserve">x  3    </v>
      </c>
      <c r="G44" s="4" t="str">
        <f ca="1">G18</f>
        <v xml:space="preserve">x  1    </v>
      </c>
      <c r="I44" s="4" t="str">
        <f ca="1">I18</f>
        <v xml:space="preserve">x  8    </v>
      </c>
      <c r="K44" s="4" t="str">
        <f ca="1">K18</f>
        <v xml:space="preserve">x  0    </v>
      </c>
      <c r="M44" s="4" t="str">
        <f ca="1">M18</f>
        <v xml:space="preserve">x  4    </v>
      </c>
      <c r="O44" s="4" t="str">
        <f ca="1">O18</f>
        <v xml:space="preserve">x  1    </v>
      </c>
      <c r="Q44" s="4" t="str">
        <f ca="1">Q18</f>
        <v xml:space="preserve">x  7    </v>
      </c>
      <c r="S44" s="4" t="str">
        <f ca="1">S18</f>
        <v xml:space="preserve">x  0    </v>
      </c>
      <c r="U44" s="4" t="str">
        <f ca="1">U18</f>
        <v xml:space="preserve">x  7    </v>
      </c>
      <c r="W44" s="4" t="str">
        <f ca="1">W18</f>
        <v xml:space="preserve">x  2    </v>
      </c>
      <c r="Y44" s="4" t="str">
        <f ca="1">Y18</f>
        <v xml:space="preserve">÷  7    </v>
      </c>
      <c r="AA44" s="4" t="str">
        <f ca="1">AA18</f>
        <v xml:space="preserve">÷  9    </v>
      </c>
      <c r="AC44" s="4" t="str">
        <f ca="1">AC18</f>
        <v xml:space="preserve">÷  5    </v>
      </c>
      <c r="AE44" s="4" t="str">
        <f ca="1">AE18</f>
        <v xml:space="preserve">÷  3    </v>
      </c>
      <c r="AG44" s="4" t="str">
        <f ca="1">AG18</f>
        <v xml:space="preserve">÷  1    </v>
      </c>
      <c r="AI44" s="4" t="str">
        <f ca="1">AI18</f>
        <v xml:space="preserve">÷  4    </v>
      </c>
      <c r="AK44" s="4" t="str">
        <f ca="1">AK18</f>
        <v xml:space="preserve">÷  4    </v>
      </c>
      <c r="AM44" s="4" t="str">
        <f ca="1">AM18</f>
        <v xml:space="preserve">÷  1    </v>
      </c>
      <c r="AO44" s="4" t="str">
        <f ca="1">AO18</f>
        <v xml:space="preserve">÷  7    </v>
      </c>
      <c r="AQ44" s="4" t="str">
        <f ca="1">AQ18</f>
        <v xml:space="preserve">÷  8    </v>
      </c>
      <c r="AS44" s="4" t="str">
        <f ca="1">AS18</f>
        <v xml:space="preserve">÷  7    </v>
      </c>
      <c r="AU44" s="4" t="str">
        <f ca="1">AU18</f>
        <v xml:space="preserve">÷  2    </v>
      </c>
      <c r="AW44" s="4" t="str">
        <f ca="1">AW18</f>
        <v xml:space="preserve">-  3    </v>
      </c>
      <c r="AY44" s="4" t="str">
        <f ca="1">AY18</f>
        <v xml:space="preserve">-  18    </v>
      </c>
      <c r="BA44" s="4" t="str">
        <f ca="1">BA18</f>
        <v xml:space="preserve">-  2    </v>
      </c>
      <c r="BC44" s="4" t="str">
        <f ca="1">BC18</f>
        <v xml:space="preserve">-  13    </v>
      </c>
      <c r="BE44" s="4" t="str">
        <f ca="1">BE18</f>
        <v xml:space="preserve">-  4    </v>
      </c>
      <c r="BG44" s="4" t="str">
        <f ca="1">BG18</f>
        <v xml:space="preserve">-  13    </v>
      </c>
      <c r="BI44" s="4" t="str">
        <f ca="1">BI18</f>
        <v xml:space="preserve">-  19    </v>
      </c>
      <c r="BK44" s="4" t="str">
        <f ca="1">BK18</f>
        <v xml:space="preserve">-  2    </v>
      </c>
      <c r="BM44" s="4" t="str">
        <f ca="1">BM18</f>
        <v xml:space="preserve">-  3    </v>
      </c>
      <c r="BO44" s="4" t="str">
        <f ca="1">BO18</f>
        <v xml:space="preserve">-  9    </v>
      </c>
      <c r="BQ44" s="4" t="str">
        <f ca="1">BQ18</f>
        <v xml:space="preserve">-  2    </v>
      </c>
      <c r="BS44" s="4" t="str">
        <f ca="1">BS18</f>
        <v xml:space="preserve">-  2    </v>
      </c>
      <c r="BU44" s="4" t="str">
        <f ca="1">BU18</f>
        <v xml:space="preserve">+  4    </v>
      </c>
      <c r="BW44" s="4" t="str">
        <f ca="1">BW18</f>
        <v xml:space="preserve">+  7    </v>
      </c>
      <c r="BY44" s="4" t="str">
        <f ca="1">BY18</f>
        <v xml:space="preserve">+  17    </v>
      </c>
      <c r="CA44" s="4" t="str">
        <f ca="1">CA18</f>
        <v xml:space="preserve">+  3    </v>
      </c>
      <c r="CC44" s="4" t="str">
        <f ca="1">CC18</f>
        <v xml:space="preserve">+  1    </v>
      </c>
      <c r="CE44" s="4" t="str">
        <f ca="1">CE18</f>
        <v xml:space="preserve">+  4    </v>
      </c>
      <c r="CG44" s="4" t="str">
        <f ca="1">CG18</f>
        <v xml:space="preserve">+  15    </v>
      </c>
      <c r="CI44" s="4" t="str">
        <f ca="1">CI18</f>
        <v xml:space="preserve">+  2    </v>
      </c>
      <c r="CK44" s="4" t="str">
        <f ca="1">CK18</f>
        <v xml:space="preserve">+  7    </v>
      </c>
      <c r="CM44" s="4" t="str">
        <f ca="1">CM18</f>
        <v xml:space="preserve">+  7    </v>
      </c>
      <c r="CO44" s="4" t="str">
        <f ca="1">CO18</f>
        <v xml:space="preserve">+  1    </v>
      </c>
      <c r="CQ44" s="4" t="str">
        <f ca="1">CQ18</f>
        <v xml:space="preserve">+  8    </v>
      </c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</row>
    <row r="45" spans="1:127" ht="32.25" customHeight="1" x14ac:dyDescent="0.25">
      <c r="A45" s="6">
        <f ca="1">A43*RIGHT(SUBSTITUTE(A44," ",""),1)</f>
        <v>35</v>
      </c>
      <c r="B45" s="6"/>
      <c r="C45" s="6">
        <f ca="1">C43*RIGHT(SUBSTITUTE(C44," ",""),1)</f>
        <v>63</v>
      </c>
      <c r="D45" s="6"/>
      <c r="E45" s="6">
        <f ca="1">E43*RIGHT(SUBSTITUTE(E44," ",""),1)</f>
        <v>15</v>
      </c>
      <c r="F45" s="6"/>
      <c r="G45" s="6">
        <f ca="1">G43*RIGHT(SUBSTITUTE(G44," ",""),1)</f>
        <v>3</v>
      </c>
      <c r="H45" s="6"/>
      <c r="I45" s="6">
        <f ca="1">I43*RIGHT(SUBSTITUTE(I44," ",""),1)</f>
        <v>8</v>
      </c>
      <c r="J45" s="6"/>
      <c r="K45" s="6">
        <f ca="1">K43*RIGHT(SUBSTITUTE(K44," ",""),1)</f>
        <v>0</v>
      </c>
      <c r="L45" s="6"/>
      <c r="M45" s="6">
        <f ca="1">M43*RIGHT(SUBSTITUTE(M44," ",""),1)</f>
        <v>8</v>
      </c>
      <c r="N45" s="6"/>
      <c r="O45" s="6">
        <f ca="1">O43*RIGHT(SUBSTITUTE(O44," ",""),1)</f>
        <v>3</v>
      </c>
      <c r="P45" s="6"/>
      <c r="Q45" s="6">
        <f ca="1">Q43*RIGHT(SUBSTITUTE(Q44," ",""),1)</f>
        <v>35</v>
      </c>
      <c r="R45" s="6"/>
      <c r="S45" s="6">
        <f ca="1">S43*RIGHT(SUBSTITUTE(S44," ",""),1)</f>
        <v>0</v>
      </c>
      <c r="T45" s="6"/>
      <c r="U45" s="6">
        <f ca="1">U43*RIGHT(SUBSTITUTE(U44," ",""),1)</f>
        <v>49</v>
      </c>
      <c r="V45" s="6"/>
      <c r="W45" s="6">
        <f ca="1">W43*RIGHT(SUBSTITUTE(W44," ",""),1)</f>
        <v>16</v>
      </c>
      <c r="X45" s="5"/>
      <c r="Y45" s="6">
        <f ca="1">Y43/RIGHT(SUBSTITUTE(Y44," ",""),1)</f>
        <v>5</v>
      </c>
      <c r="Z45" s="6"/>
      <c r="AA45" s="6">
        <f ca="1">AA43/RIGHT(SUBSTITUTE(AA44," ",""),1)</f>
        <v>7</v>
      </c>
      <c r="AB45" s="6"/>
      <c r="AC45" s="6">
        <f ca="1">AC43/RIGHT(SUBSTITUTE(AC44," ",""),1)</f>
        <v>3</v>
      </c>
      <c r="AD45" s="6"/>
      <c r="AE45" s="6">
        <f ca="1">AE43/RIGHT(SUBSTITUTE(AE44," ",""),1)</f>
        <v>1</v>
      </c>
      <c r="AF45" s="6"/>
      <c r="AG45" s="6">
        <f ca="1">AG43/RIGHT(SUBSTITUTE(AG44," ",""),1)</f>
        <v>8</v>
      </c>
      <c r="AH45" s="6"/>
      <c r="AI45" s="6">
        <f ca="1">AI43/RIGHT(SUBSTITUTE(AI44," ",""),1)</f>
        <v>0</v>
      </c>
      <c r="AJ45" s="6"/>
      <c r="AK45" s="6">
        <f ca="1">AK43/RIGHT(SUBSTITUTE(AK44," ",""),1)</f>
        <v>2</v>
      </c>
      <c r="AL45" s="6"/>
      <c r="AM45" s="6">
        <f ca="1">AM43/RIGHT(SUBSTITUTE(AM44," ",""),1)</f>
        <v>3</v>
      </c>
      <c r="AN45" s="6"/>
      <c r="AO45" s="6">
        <f ca="1">AO43/RIGHT(SUBSTITUTE(AO44," ",""),1)</f>
        <v>5</v>
      </c>
      <c r="AP45" s="6"/>
      <c r="AQ45" s="6">
        <f ca="1">AQ43/RIGHT(SUBSTITUTE(AQ44," ",""),1)</f>
        <v>0</v>
      </c>
      <c r="AR45" s="6"/>
      <c r="AS45" s="6">
        <f ca="1">AS43/RIGHT(SUBSTITUTE(AS44," ",""),1)</f>
        <v>7</v>
      </c>
      <c r="AT45" s="6"/>
      <c r="AU45" s="6">
        <f ca="1">AU43/RIGHT(SUBSTITUTE(AU44," ",""),1)</f>
        <v>8</v>
      </c>
      <c r="AV45" s="6"/>
      <c r="AW45" s="6">
        <f ca="1">AW43-SUBSTITUTE(SUBSTITUTE(AW44," ",""),"-","")</f>
        <v>25</v>
      </c>
      <c r="AX45" s="6"/>
      <c r="AY45" s="6">
        <f ca="1">AY43-SUBSTITUTE(SUBSTITUTE(AY44," ",""),"-","")</f>
        <v>2</v>
      </c>
      <c r="AZ45" s="6"/>
      <c r="BA45" s="6">
        <f ca="1">BA43-SUBSTITUTE(SUBSTITUTE(BA44," ",""),"-","")</f>
        <v>3</v>
      </c>
      <c r="BB45" s="6"/>
      <c r="BC45" s="6">
        <f ca="1">BC43-SUBSTITUTE(SUBSTITUTE(BC44," ",""),"-","")</f>
        <v>13</v>
      </c>
      <c r="BD45" s="6"/>
      <c r="BE45" s="6">
        <f ca="1">BE43-SUBSTITUTE(SUBSTITUTE(BE44," ",""),"-","")</f>
        <v>1</v>
      </c>
      <c r="BF45" s="6"/>
      <c r="BG45" s="6">
        <f ca="1">BG43-SUBSTITUTE(SUBSTITUTE(BG44," ",""),"-","")</f>
        <v>4</v>
      </c>
      <c r="BH45" s="6"/>
      <c r="BI45" s="6">
        <f ca="1">BI43-SUBSTITUTE(SUBSTITUTE(BI44," ",""),"-","")</f>
        <v>11</v>
      </c>
      <c r="BJ45" s="6"/>
      <c r="BK45" s="6">
        <f ca="1">BK43-SUBSTITUTE(SUBSTITUTE(BK44," ",""),"-","")</f>
        <v>4</v>
      </c>
      <c r="BL45" s="6"/>
      <c r="BM45" s="6">
        <f ca="1">BM43-SUBSTITUTE(SUBSTITUTE(BM44," ",""),"-","")</f>
        <v>5</v>
      </c>
      <c r="BN45" s="6"/>
      <c r="BO45" s="6">
        <f ca="1">BO43-SUBSTITUTE(SUBSTITUTE(BO44," ",""),"-","")</f>
        <v>4</v>
      </c>
      <c r="BP45" s="6"/>
      <c r="BQ45" s="6">
        <f ca="1">BQ43-SUBSTITUTE(SUBSTITUTE(BQ44," ",""),"-","")</f>
        <v>4</v>
      </c>
      <c r="BR45" s="6"/>
      <c r="BS45" s="6">
        <f ca="1">BS43-SUBSTITUTE(SUBSTITUTE(BS44," ",""),"-","")</f>
        <v>4</v>
      </c>
      <c r="BT45" s="6"/>
      <c r="BU45" s="6">
        <f ca="1">BU43+RIGHT(SUBSTITUTE(BU44," ",""),1)</f>
        <v>21</v>
      </c>
      <c r="BV45" s="6"/>
      <c r="BW45" s="6">
        <f ca="1">BW43+RIGHT(SUBSTITUTE(BW44," ",""),1)</f>
        <v>31</v>
      </c>
      <c r="BX45" s="6"/>
      <c r="BY45" s="6">
        <f ca="1">BY43+RIGHT(SUBSTITUTE(BY44," ",""),1)</f>
        <v>27</v>
      </c>
      <c r="BZ45" s="6"/>
      <c r="CA45" s="6">
        <f ca="1">CA43+RIGHT(SUBSTITUTE(CA44," ",""),1)</f>
        <v>29</v>
      </c>
      <c r="CB45" s="6"/>
      <c r="CC45" s="6">
        <f ca="1">CC43+RIGHT(SUBSTITUTE(CC44," ",""),1)</f>
        <v>21</v>
      </c>
      <c r="CD45" s="6"/>
      <c r="CE45" s="6">
        <f ca="1">CE43+RIGHT(SUBSTITUTE(CE44," ",""),1)</f>
        <v>18</v>
      </c>
      <c r="CF45" s="6"/>
      <c r="CG45" s="6">
        <f ca="1">CG43+RIGHT(SUBSTITUTE(CG44," ",""),1)</f>
        <v>27</v>
      </c>
      <c r="CH45" s="6"/>
      <c r="CI45" s="6">
        <f ca="1">CI43+RIGHT(SUBSTITUTE(CI44," ",""),1)</f>
        <v>17</v>
      </c>
      <c r="CJ45" s="6"/>
      <c r="CK45" s="6">
        <f ca="1">CK43+RIGHT(SUBSTITUTE(CK44," ",""),1)</f>
        <v>17</v>
      </c>
      <c r="CL45" s="6"/>
      <c r="CM45" s="6">
        <f ca="1">CM43+RIGHT(SUBSTITUTE(CM44," ",""),1)</f>
        <v>17</v>
      </c>
      <c r="CN45" s="6"/>
      <c r="CO45" s="6">
        <f ca="1">CO43+RIGHT(SUBSTITUTE(CO44," ",""),1)</f>
        <v>13</v>
      </c>
      <c r="CP45" s="6"/>
      <c r="CQ45" s="6">
        <f ca="1">CQ43+RIGHT(SUBSTITUTE(CQ44," ",""),1)</f>
        <v>20</v>
      </c>
      <c r="CR45" s="6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</row>
    <row r="46" spans="1:127" ht="23.25" customHeight="1" thickBot="1" x14ac:dyDescent="0.3">
      <c r="A46" s="3">
        <f ca="1">A20</f>
        <v>1</v>
      </c>
      <c r="C46" s="3">
        <f ca="1">C20</f>
        <v>7</v>
      </c>
      <c r="E46" s="3">
        <f ca="1">E20</f>
        <v>8</v>
      </c>
      <c r="G46" s="3">
        <f ca="1">G20</f>
        <v>3</v>
      </c>
      <c r="I46" s="3">
        <f ca="1">I20</f>
        <v>4</v>
      </c>
      <c r="K46" s="3">
        <f ca="1">K20</f>
        <v>9</v>
      </c>
      <c r="M46" s="3">
        <f ca="1">M20</f>
        <v>6</v>
      </c>
      <c r="O46" s="3">
        <f ca="1">O20</f>
        <v>4</v>
      </c>
      <c r="Q46" s="3">
        <f ca="1">Q20</f>
        <v>5</v>
      </c>
      <c r="S46" s="3">
        <f ca="1">S20</f>
        <v>3</v>
      </c>
      <c r="U46" s="3">
        <f ca="1">U20</f>
        <v>3</v>
      </c>
      <c r="W46" s="3">
        <f ca="1">W20</f>
        <v>4</v>
      </c>
      <c r="Y46" s="3" t="str">
        <f ca="1">Y20</f>
        <v>0</v>
      </c>
      <c r="AA46" s="3">
        <f ca="1">AA20</f>
        <v>42</v>
      </c>
      <c r="AC46" s="3" t="str">
        <f ca="1">AC20</f>
        <v>0</v>
      </c>
      <c r="AE46" s="3">
        <f ca="1">AE20</f>
        <v>6</v>
      </c>
      <c r="AG46" s="3">
        <f ca="1">AG20</f>
        <v>8</v>
      </c>
      <c r="AI46" s="3">
        <f ca="1">AI20</f>
        <v>18</v>
      </c>
      <c r="AK46" s="3">
        <f ca="1">AK20</f>
        <v>42</v>
      </c>
      <c r="AM46" s="3">
        <f ca="1">AM20</f>
        <v>12</v>
      </c>
      <c r="AO46" s="3">
        <f ca="1">AO20</f>
        <v>20</v>
      </c>
      <c r="AQ46" s="3">
        <f ca="1">AQ20</f>
        <v>24</v>
      </c>
      <c r="AS46" s="3">
        <f ca="1">AS20</f>
        <v>12</v>
      </c>
      <c r="AU46" s="3">
        <f ca="1">AU20</f>
        <v>28</v>
      </c>
      <c r="AW46" s="3">
        <f ca="1">AW20</f>
        <v>25</v>
      </c>
      <c r="AY46" s="3">
        <f ca="1">AY20</f>
        <v>11</v>
      </c>
      <c r="BA46" s="3">
        <f ca="1">BA20</f>
        <v>25</v>
      </c>
      <c r="BC46" s="3">
        <f ca="1">BC20</f>
        <v>25</v>
      </c>
      <c r="BE46" s="3">
        <f ca="1">BE20</f>
        <v>19</v>
      </c>
      <c r="BG46" s="3">
        <f ca="1">BG20</f>
        <v>17</v>
      </c>
      <c r="BI46" s="3">
        <f ca="1">BI20</f>
        <v>13</v>
      </c>
      <c r="BK46" s="3">
        <f ca="1">BK20</f>
        <v>16</v>
      </c>
      <c r="BM46" s="3">
        <f ca="1">BM20</f>
        <v>25</v>
      </c>
      <c r="BO46" s="3">
        <f ca="1">BO20</f>
        <v>22</v>
      </c>
      <c r="BQ46" s="3">
        <f ca="1">BQ20</f>
        <v>21</v>
      </c>
      <c r="BS46" s="3">
        <f ca="1">BS20</f>
        <v>15</v>
      </c>
      <c r="BU46" s="3">
        <f ca="1">BU20</f>
        <v>30</v>
      </c>
      <c r="BW46" s="3">
        <f ca="1">BW20</f>
        <v>7</v>
      </c>
      <c r="BY46" s="3">
        <f ca="1">BY20</f>
        <v>17</v>
      </c>
      <c r="CA46" s="3">
        <f ca="1">CA20</f>
        <v>23</v>
      </c>
      <c r="CC46" s="3">
        <f ca="1">CC20</f>
        <v>27</v>
      </c>
      <c r="CE46" s="3">
        <f ca="1">CE20</f>
        <v>25</v>
      </c>
      <c r="CG46" s="3">
        <f ca="1">CG20</f>
        <v>16</v>
      </c>
      <c r="CI46" s="3">
        <f ca="1">CI20</f>
        <v>16</v>
      </c>
      <c r="CK46" s="3">
        <f ca="1">CK20</f>
        <v>7</v>
      </c>
      <c r="CM46" s="3">
        <f ca="1">CM20</f>
        <v>22</v>
      </c>
      <c r="CO46" s="3">
        <f ca="1">CO20</f>
        <v>28</v>
      </c>
      <c r="CQ46" s="3">
        <f ca="1">CQ20</f>
        <v>13</v>
      </c>
      <c r="CS46" s="9" t="s">
        <v>4</v>
      </c>
      <c r="CT46" s="9"/>
      <c r="CU46" s="11">
        <f ca="1">CU20</f>
        <v>0.65694444444444444</v>
      </c>
      <c r="CV46" s="11"/>
      <c r="CW46" s="9" t="s">
        <v>3</v>
      </c>
      <c r="CX46" s="9"/>
      <c r="CY46" s="11">
        <f ca="1">CY20</f>
        <v>0.91250000000000009</v>
      </c>
      <c r="CZ46" s="11"/>
      <c r="DA46" s="12" t="s">
        <v>5</v>
      </c>
      <c r="DB46" s="12"/>
      <c r="DC46" s="12"/>
      <c r="DD46" s="13">
        <f ca="1">CY46-CU46</f>
        <v>0.25555555555555565</v>
      </c>
      <c r="DE46" s="13"/>
      <c r="DF46" s="13"/>
      <c r="DG46" s="13"/>
      <c r="DH46" s="13"/>
    </row>
    <row r="47" spans="1:127" ht="23.25" customHeight="1" thickBot="1" x14ac:dyDescent="0.3">
      <c r="A47" s="4" t="str">
        <f ca="1">A21</f>
        <v xml:space="preserve">x  0    </v>
      </c>
      <c r="C47" s="4" t="str">
        <f ca="1">C21</f>
        <v xml:space="preserve">x  6    </v>
      </c>
      <c r="E47" s="4" t="str">
        <f ca="1">E21</f>
        <v xml:space="preserve">x  0    </v>
      </c>
      <c r="G47" s="4" t="str">
        <f ca="1">G21</f>
        <v xml:space="preserve">x  2    </v>
      </c>
      <c r="I47" s="4" t="str">
        <f ca="1">I21</f>
        <v xml:space="preserve">x  2    </v>
      </c>
      <c r="K47" s="4" t="str">
        <f ca="1">K21</f>
        <v xml:space="preserve">x  2    </v>
      </c>
      <c r="M47" s="4" t="str">
        <f ca="1">M21</f>
        <v xml:space="preserve">x  7    </v>
      </c>
      <c r="O47" s="4" t="str">
        <f ca="1">O21</f>
        <v xml:space="preserve">x  3    </v>
      </c>
      <c r="Q47" s="4" t="str">
        <f ca="1">Q21</f>
        <v xml:space="preserve">x  4    </v>
      </c>
      <c r="S47" s="4" t="str">
        <f ca="1">S21</f>
        <v xml:space="preserve">x  8    </v>
      </c>
      <c r="U47" s="4" t="str">
        <f ca="1">U21</f>
        <v xml:space="preserve">x  4    </v>
      </c>
      <c r="W47" s="4" t="str">
        <f ca="1">W21</f>
        <v xml:space="preserve">x  7    </v>
      </c>
      <c r="Y47" s="4" t="str">
        <f ca="1">Y21</f>
        <v xml:space="preserve">÷  1    </v>
      </c>
      <c r="AA47" s="4" t="str">
        <f ca="1">AA21</f>
        <v xml:space="preserve">÷  7    </v>
      </c>
      <c r="AC47" s="4" t="str">
        <f ca="1">AC21</f>
        <v xml:space="preserve">÷  8    </v>
      </c>
      <c r="AE47" s="4" t="str">
        <f ca="1">AE21</f>
        <v xml:space="preserve">÷  2    </v>
      </c>
      <c r="AG47" s="4" t="str">
        <f ca="1">AG21</f>
        <v xml:space="preserve">÷  4    </v>
      </c>
      <c r="AI47" s="4" t="str">
        <f ca="1">AI21</f>
        <v xml:space="preserve">÷  2    </v>
      </c>
      <c r="AK47" s="4" t="str">
        <f ca="1">AK21</f>
        <v xml:space="preserve">÷  6    </v>
      </c>
      <c r="AM47" s="4" t="str">
        <f ca="1">AM21</f>
        <v xml:space="preserve">÷  3    </v>
      </c>
      <c r="AO47" s="4" t="str">
        <f ca="1">AO21</f>
        <v xml:space="preserve">÷  4    </v>
      </c>
      <c r="AQ47" s="4" t="str">
        <f ca="1">AQ21</f>
        <v xml:space="preserve">÷  3    </v>
      </c>
      <c r="AS47" s="4" t="str">
        <f ca="1">AS21</f>
        <v xml:space="preserve">÷  4    </v>
      </c>
      <c r="AU47" s="4" t="str">
        <f ca="1">AU21</f>
        <v xml:space="preserve">÷  7    </v>
      </c>
      <c r="AW47" s="4" t="str">
        <f ca="1">AW21</f>
        <v xml:space="preserve">-  20    </v>
      </c>
      <c r="AY47" s="4" t="str">
        <f ca="1">AY21</f>
        <v xml:space="preserve">-  9    </v>
      </c>
      <c r="BA47" s="4" t="str">
        <f ca="1">BA21</f>
        <v xml:space="preserve">-  18    </v>
      </c>
      <c r="BC47" s="4" t="str">
        <f ca="1">BC21</f>
        <v xml:space="preserve">-  8    </v>
      </c>
      <c r="BE47" s="4" t="str">
        <f ca="1">BE21</f>
        <v xml:space="preserve">-  15    </v>
      </c>
      <c r="BG47" s="4" t="str">
        <f ca="1">BG21</f>
        <v xml:space="preserve">-  10    </v>
      </c>
      <c r="BI47" s="4" t="str">
        <f ca="1">BI21</f>
        <v xml:space="preserve">-  11    </v>
      </c>
      <c r="BK47" s="4" t="str">
        <f ca="1">BK21</f>
        <v xml:space="preserve">-  5    </v>
      </c>
      <c r="BM47" s="4" t="str">
        <f ca="1">BM21</f>
        <v xml:space="preserve">-  8    </v>
      </c>
      <c r="BO47" s="4" t="str">
        <f ca="1">BO21</f>
        <v xml:space="preserve">-  4    </v>
      </c>
      <c r="BQ47" s="4" t="str">
        <f ca="1">BQ21</f>
        <v xml:space="preserve">-  20    </v>
      </c>
      <c r="BS47" s="4" t="str">
        <f ca="1">BS21</f>
        <v xml:space="preserve">-  13    </v>
      </c>
      <c r="BU47" s="4" t="str">
        <f ca="1">BU21</f>
        <v xml:space="preserve">+  17    </v>
      </c>
      <c r="BW47" s="4" t="str">
        <f ca="1">BW21</f>
        <v xml:space="preserve">+  2    </v>
      </c>
      <c r="BY47" s="4" t="str">
        <f ca="1">BY21</f>
        <v xml:space="preserve">+  1    </v>
      </c>
      <c r="CA47" s="4" t="str">
        <f ca="1">CA21</f>
        <v xml:space="preserve">+  16    </v>
      </c>
      <c r="CC47" s="4" t="str">
        <f ca="1">CC21</f>
        <v xml:space="preserve">+  1    </v>
      </c>
      <c r="CE47" s="4" t="str">
        <f ca="1">CE21</f>
        <v xml:space="preserve">+  20    </v>
      </c>
      <c r="CG47" s="4" t="str">
        <f ca="1">CG21</f>
        <v xml:space="preserve">+  15    </v>
      </c>
      <c r="CI47" s="4" t="str">
        <f ca="1">CI21</f>
        <v xml:space="preserve">+  8    </v>
      </c>
      <c r="CK47" s="4" t="str">
        <f ca="1">CK21</f>
        <v xml:space="preserve">+  3    </v>
      </c>
      <c r="CM47" s="4" t="str">
        <f ca="1">CM21</f>
        <v xml:space="preserve">+  5    </v>
      </c>
      <c r="CO47" s="4" t="str">
        <f ca="1">CO21</f>
        <v xml:space="preserve">+  1    </v>
      </c>
      <c r="CQ47" s="4" t="str">
        <f ca="1">CQ21</f>
        <v xml:space="preserve">+  9    </v>
      </c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</row>
    <row r="48" spans="1:127" ht="32.25" customHeight="1" x14ac:dyDescent="0.25">
      <c r="A48" s="6">
        <f ca="1">A46*RIGHT(SUBSTITUTE(A47," ",""),1)</f>
        <v>0</v>
      </c>
      <c r="B48" s="6"/>
      <c r="C48" s="6">
        <f ca="1">C46*RIGHT(SUBSTITUTE(C47," ",""),1)</f>
        <v>42</v>
      </c>
      <c r="D48" s="6"/>
      <c r="E48" s="6">
        <f ca="1">E46*RIGHT(SUBSTITUTE(E47," ",""),1)</f>
        <v>0</v>
      </c>
      <c r="F48" s="6"/>
      <c r="G48" s="6">
        <f ca="1">G46*RIGHT(SUBSTITUTE(G47," ",""),1)</f>
        <v>6</v>
      </c>
      <c r="H48" s="6"/>
      <c r="I48" s="6">
        <f ca="1">I46*RIGHT(SUBSTITUTE(I47," ",""),1)</f>
        <v>8</v>
      </c>
      <c r="J48" s="6"/>
      <c r="K48" s="6">
        <f ca="1">K46*RIGHT(SUBSTITUTE(K47," ",""),1)</f>
        <v>18</v>
      </c>
      <c r="L48" s="6"/>
      <c r="M48" s="6">
        <f ca="1">M46*RIGHT(SUBSTITUTE(M47," ",""),1)</f>
        <v>42</v>
      </c>
      <c r="N48" s="6"/>
      <c r="O48" s="6">
        <f ca="1">O46*RIGHT(SUBSTITUTE(O47," ",""),1)</f>
        <v>12</v>
      </c>
      <c r="P48" s="6"/>
      <c r="Q48" s="6">
        <f ca="1">Q46*RIGHT(SUBSTITUTE(Q47," ",""),1)</f>
        <v>20</v>
      </c>
      <c r="R48" s="6"/>
      <c r="S48" s="6">
        <f ca="1">S46*RIGHT(SUBSTITUTE(S47," ",""),1)</f>
        <v>24</v>
      </c>
      <c r="T48" s="6"/>
      <c r="U48" s="6">
        <f ca="1">U46*RIGHT(SUBSTITUTE(U47," ",""),1)</f>
        <v>12</v>
      </c>
      <c r="V48" s="6"/>
      <c r="W48" s="6">
        <f ca="1">W46*RIGHT(SUBSTITUTE(W47," ",""),1)</f>
        <v>28</v>
      </c>
      <c r="X48" s="5"/>
      <c r="Y48" s="6">
        <f ca="1">Y46/RIGHT(SUBSTITUTE(Y47," ",""),1)</f>
        <v>0</v>
      </c>
      <c r="Z48" s="6"/>
      <c r="AA48" s="6">
        <f ca="1">AA46/RIGHT(SUBSTITUTE(AA47," ",""),1)</f>
        <v>6</v>
      </c>
      <c r="AB48" s="6"/>
      <c r="AC48" s="6">
        <f ca="1">AC46/RIGHT(SUBSTITUTE(AC47," ",""),1)</f>
        <v>0</v>
      </c>
      <c r="AD48" s="6"/>
      <c r="AE48" s="6">
        <f ca="1">AE46/RIGHT(SUBSTITUTE(AE47," ",""),1)</f>
        <v>3</v>
      </c>
      <c r="AF48" s="6"/>
      <c r="AG48" s="6">
        <f ca="1">AG46/RIGHT(SUBSTITUTE(AG47," ",""),1)</f>
        <v>2</v>
      </c>
      <c r="AH48" s="6"/>
      <c r="AI48" s="6">
        <f ca="1">AI46/RIGHT(SUBSTITUTE(AI47," ",""),1)</f>
        <v>9</v>
      </c>
      <c r="AJ48" s="6"/>
      <c r="AK48" s="6">
        <f ca="1">AK46/RIGHT(SUBSTITUTE(AK47," ",""),1)</f>
        <v>7</v>
      </c>
      <c r="AL48" s="6"/>
      <c r="AM48" s="6">
        <f ca="1">AM46/RIGHT(SUBSTITUTE(AM47," ",""),1)</f>
        <v>4</v>
      </c>
      <c r="AN48" s="6"/>
      <c r="AO48" s="6">
        <f ca="1">AO46/RIGHT(SUBSTITUTE(AO47," ",""),1)</f>
        <v>5</v>
      </c>
      <c r="AP48" s="6"/>
      <c r="AQ48" s="6">
        <f ca="1">AQ46/RIGHT(SUBSTITUTE(AQ47," ",""),1)</f>
        <v>8</v>
      </c>
      <c r="AR48" s="6"/>
      <c r="AS48" s="6">
        <f ca="1">AS46/RIGHT(SUBSTITUTE(AS47," ",""),1)</f>
        <v>3</v>
      </c>
      <c r="AT48" s="6"/>
      <c r="AU48" s="6">
        <f ca="1">AU46/RIGHT(SUBSTITUTE(AU47," ",""),1)</f>
        <v>4</v>
      </c>
      <c r="AV48" s="6"/>
      <c r="AW48" s="6">
        <f ca="1">AW46-SUBSTITUTE(SUBSTITUTE(AW47," ",""),"-","")</f>
        <v>5</v>
      </c>
      <c r="AX48" s="6"/>
      <c r="AY48" s="6">
        <f ca="1">AY46-SUBSTITUTE(SUBSTITUTE(AY47," ",""),"-","")</f>
        <v>2</v>
      </c>
      <c r="AZ48" s="6"/>
      <c r="BA48" s="6">
        <f ca="1">BA46-SUBSTITUTE(SUBSTITUTE(BA47," ",""),"-","")</f>
        <v>7</v>
      </c>
      <c r="BB48" s="6"/>
      <c r="BC48" s="6">
        <f ca="1">BC46-SUBSTITUTE(SUBSTITUTE(BC47," ",""),"-","")</f>
        <v>17</v>
      </c>
      <c r="BD48" s="6"/>
      <c r="BE48" s="6">
        <f ca="1">BE46-SUBSTITUTE(SUBSTITUTE(BE47," ",""),"-","")</f>
        <v>4</v>
      </c>
      <c r="BF48" s="6"/>
      <c r="BG48" s="6">
        <f ca="1">BG46-SUBSTITUTE(SUBSTITUTE(BG47," ",""),"-","")</f>
        <v>7</v>
      </c>
      <c r="BH48" s="6"/>
      <c r="BI48" s="6">
        <f ca="1">BI46-SUBSTITUTE(SUBSTITUTE(BI47," ",""),"-","")</f>
        <v>2</v>
      </c>
      <c r="BJ48" s="6"/>
      <c r="BK48" s="6">
        <f ca="1">BK46-SUBSTITUTE(SUBSTITUTE(BK47," ",""),"-","")</f>
        <v>11</v>
      </c>
      <c r="BL48" s="6"/>
      <c r="BM48" s="6">
        <f ca="1">BM46-SUBSTITUTE(SUBSTITUTE(BM47," ",""),"-","")</f>
        <v>17</v>
      </c>
      <c r="BN48" s="6"/>
      <c r="BO48" s="6">
        <f ca="1">BO46-SUBSTITUTE(SUBSTITUTE(BO47," ",""),"-","")</f>
        <v>18</v>
      </c>
      <c r="BP48" s="6"/>
      <c r="BQ48" s="6">
        <f ca="1">BQ46-SUBSTITUTE(SUBSTITUTE(BQ47," ",""),"-","")</f>
        <v>1</v>
      </c>
      <c r="BR48" s="6"/>
      <c r="BS48" s="6">
        <f ca="1">BS46-SUBSTITUTE(SUBSTITUTE(BS47," ",""),"-","")</f>
        <v>2</v>
      </c>
      <c r="BT48" s="6"/>
      <c r="BU48" s="6">
        <f ca="1">BU46+RIGHT(SUBSTITUTE(BU47," ",""),1)</f>
        <v>37</v>
      </c>
      <c r="BV48" s="6"/>
      <c r="BW48" s="6">
        <f ca="1">BW46+RIGHT(SUBSTITUTE(BW47," ",""),1)</f>
        <v>9</v>
      </c>
      <c r="BX48" s="6"/>
      <c r="BY48" s="6">
        <f ca="1">BY46+RIGHT(SUBSTITUTE(BY47," ",""),1)</f>
        <v>18</v>
      </c>
      <c r="BZ48" s="6"/>
      <c r="CA48" s="6">
        <f ca="1">CA46+RIGHT(SUBSTITUTE(CA47," ",""),1)</f>
        <v>29</v>
      </c>
      <c r="CB48" s="6"/>
      <c r="CC48" s="6">
        <f ca="1">CC46+RIGHT(SUBSTITUTE(CC47," ",""),1)</f>
        <v>28</v>
      </c>
      <c r="CD48" s="6"/>
      <c r="CE48" s="6">
        <f ca="1">CE46+RIGHT(SUBSTITUTE(CE47," ",""),1)</f>
        <v>25</v>
      </c>
      <c r="CF48" s="6"/>
      <c r="CG48" s="6">
        <f ca="1">CG46+RIGHT(SUBSTITUTE(CG47," ",""),1)</f>
        <v>21</v>
      </c>
      <c r="CH48" s="6"/>
      <c r="CI48" s="6">
        <f ca="1">CI46+RIGHT(SUBSTITUTE(CI47," ",""),1)</f>
        <v>24</v>
      </c>
      <c r="CJ48" s="6"/>
      <c r="CK48" s="6">
        <f ca="1">CK46+RIGHT(SUBSTITUTE(CK47," ",""),1)</f>
        <v>10</v>
      </c>
      <c r="CL48" s="6"/>
      <c r="CM48" s="6">
        <f ca="1">CM46+RIGHT(SUBSTITUTE(CM47," ",""),1)</f>
        <v>27</v>
      </c>
      <c r="CN48" s="6"/>
      <c r="CO48" s="6">
        <f ca="1">CO46+RIGHT(SUBSTITUTE(CO47," ",""),1)</f>
        <v>29</v>
      </c>
      <c r="CP48" s="6"/>
      <c r="CQ48" s="6">
        <f ca="1">CQ46+RIGHT(SUBSTITUTE(CQ47," ",""),1)</f>
        <v>22</v>
      </c>
      <c r="CR48" s="6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</row>
    <row r="49" spans="1:127" ht="23.25" customHeight="1" thickBot="1" x14ac:dyDescent="0.3">
      <c r="A49" s="3">
        <f ca="1">A23</f>
        <v>6</v>
      </c>
      <c r="C49" s="3">
        <f ca="1">C23</f>
        <v>2</v>
      </c>
      <c r="E49" s="3">
        <f ca="1">E23</f>
        <v>5</v>
      </c>
      <c r="G49" s="3">
        <f ca="1">G23</f>
        <v>9</v>
      </c>
      <c r="I49" s="3">
        <f ca="1">I23</f>
        <v>7</v>
      </c>
      <c r="K49" s="3">
        <f ca="1">K23</f>
        <v>8</v>
      </c>
      <c r="M49" s="3">
        <f ca="1">M23</f>
        <v>9</v>
      </c>
      <c r="O49" s="3">
        <f ca="1">O23</f>
        <v>2</v>
      </c>
      <c r="Q49" s="3">
        <f ca="1">Q23</f>
        <v>7</v>
      </c>
      <c r="S49" s="3">
        <f ca="1">S23</f>
        <v>6</v>
      </c>
      <c r="U49" s="3">
        <f ca="1">U23</f>
        <v>6</v>
      </c>
      <c r="W49" s="3">
        <f ca="1">W23</f>
        <v>4</v>
      </c>
      <c r="Y49" s="3">
        <f ca="1">Y23</f>
        <v>18</v>
      </c>
      <c r="AA49" s="3">
        <f ca="1">AA23</f>
        <v>2</v>
      </c>
      <c r="AC49" s="3">
        <f ca="1">AC23</f>
        <v>20</v>
      </c>
      <c r="AE49" s="3">
        <f ca="1">AE23</f>
        <v>72</v>
      </c>
      <c r="AG49" s="3">
        <f ca="1">AG23</f>
        <v>42</v>
      </c>
      <c r="AI49" s="3">
        <f ca="1">AI23</f>
        <v>24</v>
      </c>
      <c r="AK49" s="3">
        <f ca="1">AK23</f>
        <v>54</v>
      </c>
      <c r="AM49" s="3">
        <f ca="1">AM23</f>
        <v>10</v>
      </c>
      <c r="AO49" s="3">
        <f ca="1">AO23</f>
        <v>28</v>
      </c>
      <c r="AQ49" s="3">
        <f ca="1">AQ23</f>
        <v>30</v>
      </c>
      <c r="AS49" s="3">
        <f ca="1">AS23</f>
        <v>54</v>
      </c>
      <c r="AU49" s="3">
        <f ca="1">AU23</f>
        <v>24</v>
      </c>
      <c r="AW49" s="3">
        <f ca="1">AW23</f>
        <v>6</v>
      </c>
      <c r="AY49" s="3">
        <f ca="1">AY23</f>
        <v>26</v>
      </c>
      <c r="BA49" s="3">
        <f ca="1">BA23</f>
        <v>30</v>
      </c>
      <c r="BC49" s="3">
        <f ca="1">BC23</f>
        <v>27</v>
      </c>
      <c r="BE49" s="3">
        <f ca="1">BE23</f>
        <v>30</v>
      </c>
      <c r="BG49" s="3">
        <f ca="1">BG23</f>
        <v>30</v>
      </c>
      <c r="BI49" s="3">
        <f ca="1">BI23</f>
        <v>16</v>
      </c>
      <c r="BK49" s="3">
        <f ca="1">BK23</f>
        <v>18</v>
      </c>
      <c r="BM49" s="3">
        <f ca="1">BM23</f>
        <v>19</v>
      </c>
      <c r="BO49" s="3">
        <f ca="1">BO23</f>
        <v>9</v>
      </c>
      <c r="BQ49" s="3">
        <f ca="1">BQ23</f>
        <v>22</v>
      </c>
      <c r="BS49" s="3">
        <f ca="1">BS23</f>
        <v>16</v>
      </c>
      <c r="BU49" s="3">
        <f ca="1">BU23</f>
        <v>27</v>
      </c>
      <c r="BW49" s="3">
        <f ca="1">BW23</f>
        <v>26</v>
      </c>
      <c r="BY49" s="3">
        <f ca="1">BY23</f>
        <v>18</v>
      </c>
      <c r="CA49" s="3">
        <f ca="1">CA23</f>
        <v>23</v>
      </c>
      <c r="CC49" s="3">
        <f ca="1">CC23</f>
        <v>30</v>
      </c>
      <c r="CE49" s="3">
        <f ca="1">CE23</f>
        <v>16</v>
      </c>
      <c r="CG49" s="3">
        <f ca="1">CG23</f>
        <v>20</v>
      </c>
      <c r="CI49" s="3">
        <f ca="1">CI23</f>
        <v>17</v>
      </c>
      <c r="CK49" s="3">
        <f ca="1">CK23</f>
        <v>27</v>
      </c>
      <c r="CM49" s="3">
        <f ca="1">CM23</f>
        <v>5</v>
      </c>
      <c r="CO49" s="3">
        <f ca="1">CO23</f>
        <v>19</v>
      </c>
      <c r="CQ49" s="3">
        <f ca="1">CQ23</f>
        <v>10</v>
      </c>
      <c r="CS49" s="9" t="s">
        <v>4</v>
      </c>
      <c r="CT49" s="9"/>
      <c r="CU49" s="11">
        <f ca="1">CU23</f>
        <v>0.40763888888888888</v>
      </c>
      <c r="CV49" s="11"/>
      <c r="CW49" s="9" t="s">
        <v>3</v>
      </c>
      <c r="CX49" s="9"/>
      <c r="CY49" s="11">
        <f ca="1">CY23</f>
        <v>0.44930555555555557</v>
      </c>
      <c r="CZ49" s="11"/>
      <c r="DA49" s="12" t="s">
        <v>5</v>
      </c>
      <c r="DB49" s="12"/>
      <c r="DC49" s="12"/>
      <c r="DD49" s="13">
        <f ca="1">CY49-CU49</f>
        <v>4.1666666666666685E-2</v>
      </c>
      <c r="DE49" s="13"/>
      <c r="DF49" s="13"/>
      <c r="DG49" s="13"/>
      <c r="DH49" s="13"/>
    </row>
    <row r="50" spans="1:127" ht="23.25" customHeight="1" thickBot="1" x14ac:dyDescent="0.3">
      <c r="A50" s="4" t="str">
        <f ca="1">A24</f>
        <v xml:space="preserve">x  3    </v>
      </c>
      <c r="C50" s="4" t="str">
        <f ca="1">C24</f>
        <v xml:space="preserve">x  1    </v>
      </c>
      <c r="E50" s="4" t="str">
        <f ca="1">E24</f>
        <v xml:space="preserve">x  4    </v>
      </c>
      <c r="G50" s="4" t="str">
        <f ca="1">G24</f>
        <v xml:space="preserve">x  8    </v>
      </c>
      <c r="I50" s="4" t="str">
        <f ca="1">I24</f>
        <v xml:space="preserve">x  6    </v>
      </c>
      <c r="K50" s="4" t="str">
        <f ca="1">K24</f>
        <v xml:space="preserve">x  3    </v>
      </c>
      <c r="M50" s="4" t="str">
        <f ca="1">M24</f>
        <v xml:space="preserve">x  6    </v>
      </c>
      <c r="O50" s="4" t="str">
        <f ca="1">O24</f>
        <v xml:space="preserve">x  5    </v>
      </c>
      <c r="Q50" s="4" t="str">
        <f ca="1">Q24</f>
        <v xml:space="preserve">x  4    </v>
      </c>
      <c r="S50" s="4" t="str">
        <f ca="1">S24</f>
        <v xml:space="preserve">x  5    </v>
      </c>
      <c r="U50" s="4" t="str">
        <f ca="1">U24</f>
        <v xml:space="preserve">x  9    </v>
      </c>
      <c r="W50" s="4" t="str">
        <f ca="1">W24</f>
        <v xml:space="preserve">x  6    </v>
      </c>
      <c r="Y50" s="4" t="str">
        <f ca="1">Y24</f>
        <v xml:space="preserve">÷  6    </v>
      </c>
      <c r="AA50" s="4" t="str">
        <f ca="1">AA24</f>
        <v xml:space="preserve">÷  1    </v>
      </c>
      <c r="AC50" s="4" t="str">
        <f ca="1">AC24</f>
        <v xml:space="preserve">÷  5    </v>
      </c>
      <c r="AE50" s="4" t="str">
        <f ca="1">AE24</f>
        <v xml:space="preserve">÷  8    </v>
      </c>
      <c r="AG50" s="4" t="str">
        <f ca="1">AG24</f>
        <v xml:space="preserve">÷  6    </v>
      </c>
      <c r="AI50" s="4" t="str">
        <f ca="1">AI24</f>
        <v xml:space="preserve">÷  3    </v>
      </c>
      <c r="AK50" s="4" t="str">
        <f ca="1">AK24</f>
        <v xml:space="preserve">÷  6    </v>
      </c>
      <c r="AM50" s="4" t="str">
        <f ca="1">AM24</f>
        <v xml:space="preserve">÷  2    </v>
      </c>
      <c r="AO50" s="4" t="str">
        <f ca="1">AO24</f>
        <v xml:space="preserve">÷  7    </v>
      </c>
      <c r="AQ50" s="4" t="str">
        <f ca="1">AQ24</f>
        <v xml:space="preserve">÷  6    </v>
      </c>
      <c r="AS50" s="4" t="str">
        <f ca="1">AS24</f>
        <v xml:space="preserve">÷  9    </v>
      </c>
      <c r="AU50" s="4" t="str">
        <f ca="1">AU24</f>
        <v xml:space="preserve">÷  4    </v>
      </c>
      <c r="AW50" s="4" t="str">
        <f ca="1">AW24</f>
        <v xml:space="preserve">-  3    </v>
      </c>
      <c r="AY50" s="4" t="str">
        <f ca="1">AY24</f>
        <v xml:space="preserve">-  17    </v>
      </c>
      <c r="BA50" s="4" t="str">
        <f ca="1">BA24</f>
        <v xml:space="preserve">-  4    </v>
      </c>
      <c r="BC50" s="4" t="str">
        <f ca="1">BC24</f>
        <v xml:space="preserve">-  4    </v>
      </c>
      <c r="BE50" s="4" t="str">
        <f ca="1">BE24</f>
        <v xml:space="preserve">-  5    </v>
      </c>
      <c r="BG50" s="4" t="str">
        <f ca="1">BG24</f>
        <v xml:space="preserve">-  13    </v>
      </c>
      <c r="BI50" s="4" t="str">
        <f ca="1">BI24</f>
        <v xml:space="preserve">-  8    </v>
      </c>
      <c r="BK50" s="4" t="str">
        <f ca="1">BK24</f>
        <v xml:space="preserve">-  15    </v>
      </c>
      <c r="BM50" s="4" t="str">
        <f ca="1">BM24</f>
        <v xml:space="preserve">-  1    </v>
      </c>
      <c r="BO50" s="4" t="str">
        <f ca="1">BO24</f>
        <v xml:space="preserve">-  5    </v>
      </c>
      <c r="BQ50" s="4" t="str">
        <f ca="1">BQ24</f>
        <v xml:space="preserve">-  19    </v>
      </c>
      <c r="BS50" s="4" t="str">
        <f ca="1">BS24</f>
        <v xml:space="preserve">-  12    </v>
      </c>
      <c r="BU50" s="4" t="str">
        <f ca="1">BU24</f>
        <v xml:space="preserve">+  3    </v>
      </c>
      <c r="BW50" s="4" t="str">
        <f ca="1">BW24</f>
        <v xml:space="preserve">+  1    </v>
      </c>
      <c r="BY50" s="4" t="str">
        <f ca="1">BY24</f>
        <v xml:space="preserve">+  7    </v>
      </c>
      <c r="CA50" s="4" t="str">
        <f ca="1">CA24</f>
        <v xml:space="preserve">+  22    </v>
      </c>
      <c r="CC50" s="4" t="str">
        <f ca="1">CC24</f>
        <v xml:space="preserve">+  18    </v>
      </c>
      <c r="CE50" s="4" t="str">
        <f ca="1">CE24</f>
        <v xml:space="preserve">+  3    </v>
      </c>
      <c r="CG50" s="4" t="str">
        <f ca="1">CG24</f>
        <v xml:space="preserve">+  6    </v>
      </c>
      <c r="CI50" s="4" t="str">
        <f ca="1">CI24</f>
        <v xml:space="preserve">+  14    </v>
      </c>
      <c r="CK50" s="4" t="str">
        <f ca="1">CK24</f>
        <v xml:space="preserve">+  26    </v>
      </c>
      <c r="CM50" s="4" t="str">
        <f ca="1">CM24</f>
        <v xml:space="preserve">+  2    </v>
      </c>
      <c r="CO50" s="4" t="str">
        <f ca="1">CO24</f>
        <v xml:space="preserve">+  11    </v>
      </c>
      <c r="CQ50" s="4" t="str">
        <f ca="1">CQ24</f>
        <v xml:space="preserve">+  7    </v>
      </c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16" t="str">
        <f ca="1" xml:space="preserve"> "TIME:   " &amp; TEXT(Sheet3!$B7, "HH:MM am/pm")</f>
        <v>TIME:   02:28 PM</v>
      </c>
      <c r="DJ50" s="16"/>
      <c r="DK50" s="16"/>
      <c r="DL50" s="16"/>
      <c r="DM50" s="16"/>
      <c r="DN50" s="16" t="str">
        <f ca="1" xml:space="preserve"> "TIME:   " &amp; TEXT(Sheet3!$B8, "HH:MM am/pm")</f>
        <v>TIME:   07:50 AM</v>
      </c>
      <c r="DO50" s="16"/>
      <c r="DP50" s="16"/>
      <c r="DQ50" s="16"/>
      <c r="DR50" s="16"/>
      <c r="DS50" s="16" t="str">
        <f ca="1" xml:space="preserve"> "TIME:   " &amp; TEXT(Sheet3!$B9, "HH:MM am/pm")</f>
        <v>TIME:   10:29 AM</v>
      </c>
      <c r="DT50" s="16"/>
      <c r="DU50" s="16"/>
      <c r="DV50" s="16"/>
      <c r="DW50" s="16"/>
    </row>
    <row r="51" spans="1:127" ht="32.25" customHeight="1" x14ac:dyDescent="0.25">
      <c r="A51" s="6">
        <f ca="1">A49*RIGHT(SUBSTITUTE(A50," ",""),1)</f>
        <v>18</v>
      </c>
      <c r="B51" s="6"/>
      <c r="C51" s="6">
        <f ca="1">C49*RIGHT(SUBSTITUTE(C50," ",""),1)</f>
        <v>2</v>
      </c>
      <c r="D51" s="6"/>
      <c r="E51" s="6">
        <f ca="1">E49*RIGHT(SUBSTITUTE(E50," ",""),1)</f>
        <v>20</v>
      </c>
      <c r="F51" s="6"/>
      <c r="G51" s="6">
        <f ca="1">G49*RIGHT(SUBSTITUTE(G50," ",""),1)</f>
        <v>72</v>
      </c>
      <c r="H51" s="6"/>
      <c r="I51" s="6">
        <f ca="1">I49*RIGHT(SUBSTITUTE(I50," ",""),1)</f>
        <v>42</v>
      </c>
      <c r="J51" s="6"/>
      <c r="K51" s="6">
        <f ca="1">K49*RIGHT(SUBSTITUTE(K50," ",""),1)</f>
        <v>24</v>
      </c>
      <c r="L51" s="6"/>
      <c r="M51" s="6">
        <f ca="1">M49*RIGHT(SUBSTITUTE(M50," ",""),1)</f>
        <v>54</v>
      </c>
      <c r="N51" s="6"/>
      <c r="O51" s="6">
        <f ca="1">O49*RIGHT(SUBSTITUTE(O50," ",""),1)</f>
        <v>10</v>
      </c>
      <c r="P51" s="6"/>
      <c r="Q51" s="6">
        <f ca="1">Q49*RIGHT(SUBSTITUTE(Q50," ",""),1)</f>
        <v>28</v>
      </c>
      <c r="R51" s="6"/>
      <c r="S51" s="6">
        <f ca="1">S49*RIGHT(SUBSTITUTE(S50," ",""),1)</f>
        <v>30</v>
      </c>
      <c r="T51" s="6"/>
      <c r="U51" s="6">
        <f ca="1">U49*RIGHT(SUBSTITUTE(U50," ",""),1)</f>
        <v>54</v>
      </c>
      <c r="V51" s="6"/>
      <c r="W51" s="6">
        <f ca="1">W49*RIGHT(SUBSTITUTE(W50," ",""),1)</f>
        <v>24</v>
      </c>
      <c r="X51" s="5"/>
      <c r="Y51" s="6">
        <f ca="1">Y49/RIGHT(SUBSTITUTE(Y50," ",""),1)</f>
        <v>3</v>
      </c>
      <c r="Z51" s="6"/>
      <c r="AA51" s="6">
        <f ca="1">AA49/RIGHT(SUBSTITUTE(AA50," ",""),1)</f>
        <v>2</v>
      </c>
      <c r="AB51" s="6"/>
      <c r="AC51" s="6">
        <f ca="1">AC49/RIGHT(SUBSTITUTE(AC50," ",""),1)</f>
        <v>4</v>
      </c>
      <c r="AD51" s="6"/>
      <c r="AE51" s="6">
        <f ca="1">AE49/RIGHT(SUBSTITUTE(AE50," ",""),1)</f>
        <v>9</v>
      </c>
      <c r="AF51" s="6"/>
      <c r="AG51" s="6">
        <f ca="1">AG49/RIGHT(SUBSTITUTE(AG50," ",""),1)</f>
        <v>7</v>
      </c>
      <c r="AH51" s="6"/>
      <c r="AI51" s="6">
        <f ca="1">AI49/RIGHT(SUBSTITUTE(AI50," ",""),1)</f>
        <v>8</v>
      </c>
      <c r="AJ51" s="6"/>
      <c r="AK51" s="6">
        <f ca="1">AK49/RIGHT(SUBSTITUTE(AK50," ",""),1)</f>
        <v>9</v>
      </c>
      <c r="AL51" s="6"/>
      <c r="AM51" s="6">
        <f ca="1">AM49/RIGHT(SUBSTITUTE(AM50," ",""),1)</f>
        <v>5</v>
      </c>
      <c r="AN51" s="6"/>
      <c r="AO51" s="6">
        <f ca="1">AO49/RIGHT(SUBSTITUTE(AO50," ",""),1)</f>
        <v>4</v>
      </c>
      <c r="AP51" s="6"/>
      <c r="AQ51" s="6">
        <f ca="1">AQ49/RIGHT(SUBSTITUTE(AQ50," ",""),1)</f>
        <v>5</v>
      </c>
      <c r="AR51" s="6"/>
      <c r="AS51" s="6">
        <f ca="1">AS49/RIGHT(SUBSTITUTE(AS50," ",""),1)</f>
        <v>6</v>
      </c>
      <c r="AT51" s="6"/>
      <c r="AU51" s="6">
        <f ca="1">AU49/RIGHT(SUBSTITUTE(AU50," ",""),1)</f>
        <v>6</v>
      </c>
      <c r="AV51" s="6"/>
      <c r="AW51" s="6">
        <f ca="1">AW49-SUBSTITUTE(SUBSTITUTE(AW50," ",""),"-","")</f>
        <v>3</v>
      </c>
      <c r="AX51" s="6"/>
      <c r="AY51" s="6">
        <f ca="1">AY49-SUBSTITUTE(SUBSTITUTE(AY50," ",""),"-","")</f>
        <v>9</v>
      </c>
      <c r="AZ51" s="6"/>
      <c r="BA51" s="6">
        <f ca="1">BA49-SUBSTITUTE(SUBSTITUTE(BA50," ",""),"-","")</f>
        <v>26</v>
      </c>
      <c r="BB51" s="6"/>
      <c r="BC51" s="6">
        <f ca="1">BC49-SUBSTITUTE(SUBSTITUTE(BC50," ",""),"-","")</f>
        <v>23</v>
      </c>
      <c r="BD51" s="6"/>
      <c r="BE51" s="6">
        <f ca="1">BE49-SUBSTITUTE(SUBSTITUTE(BE50," ",""),"-","")</f>
        <v>25</v>
      </c>
      <c r="BF51" s="6"/>
      <c r="BG51" s="6">
        <f ca="1">BG49-SUBSTITUTE(SUBSTITUTE(BG50," ",""),"-","")</f>
        <v>17</v>
      </c>
      <c r="BH51" s="6"/>
      <c r="BI51" s="6">
        <f ca="1">BI49-SUBSTITUTE(SUBSTITUTE(BI50," ",""),"-","")</f>
        <v>8</v>
      </c>
      <c r="BJ51" s="6"/>
      <c r="BK51" s="6">
        <f ca="1">BK49-SUBSTITUTE(SUBSTITUTE(BK50," ",""),"-","")</f>
        <v>3</v>
      </c>
      <c r="BL51" s="6"/>
      <c r="BM51" s="6">
        <f ca="1">BM49-SUBSTITUTE(SUBSTITUTE(BM50," ",""),"-","")</f>
        <v>18</v>
      </c>
      <c r="BN51" s="6"/>
      <c r="BO51" s="6">
        <f ca="1">BO49-SUBSTITUTE(SUBSTITUTE(BO50," ",""),"-","")</f>
        <v>4</v>
      </c>
      <c r="BP51" s="6"/>
      <c r="BQ51" s="6">
        <f ca="1">BQ49-SUBSTITUTE(SUBSTITUTE(BQ50," ",""),"-","")</f>
        <v>3</v>
      </c>
      <c r="BR51" s="6"/>
      <c r="BS51" s="6">
        <f ca="1">BS49-SUBSTITUTE(SUBSTITUTE(BS50," ",""),"-","")</f>
        <v>4</v>
      </c>
      <c r="BT51" s="6"/>
      <c r="BU51" s="6">
        <f ca="1">BU49+RIGHT(SUBSTITUTE(BU50," ",""),1)</f>
        <v>30</v>
      </c>
      <c r="BV51" s="6"/>
      <c r="BW51" s="6">
        <f ca="1">BW49+RIGHT(SUBSTITUTE(BW50," ",""),1)</f>
        <v>27</v>
      </c>
      <c r="BX51" s="6"/>
      <c r="BY51" s="6">
        <f ca="1">BY49+RIGHT(SUBSTITUTE(BY50," ",""),1)</f>
        <v>25</v>
      </c>
      <c r="BZ51" s="6"/>
      <c r="CA51" s="6">
        <f ca="1">CA49+RIGHT(SUBSTITUTE(CA50," ",""),1)</f>
        <v>25</v>
      </c>
      <c r="CB51" s="6"/>
      <c r="CC51" s="6">
        <f ca="1">CC49+RIGHT(SUBSTITUTE(CC50," ",""),1)</f>
        <v>38</v>
      </c>
      <c r="CD51" s="6"/>
      <c r="CE51" s="6">
        <f ca="1">CE49+RIGHT(SUBSTITUTE(CE50," ",""),1)</f>
        <v>19</v>
      </c>
      <c r="CF51" s="6"/>
      <c r="CG51" s="6">
        <f ca="1">CG49+RIGHT(SUBSTITUTE(CG50," ",""),1)</f>
        <v>26</v>
      </c>
      <c r="CH51" s="6"/>
      <c r="CI51" s="6">
        <f ca="1">CI49+RIGHT(SUBSTITUTE(CI50," ",""),1)</f>
        <v>21</v>
      </c>
      <c r="CJ51" s="6"/>
      <c r="CK51" s="6">
        <f ca="1">CK49+RIGHT(SUBSTITUTE(CK50," ",""),1)</f>
        <v>33</v>
      </c>
      <c r="CL51" s="6"/>
      <c r="CM51" s="6">
        <f ca="1">CM49+RIGHT(SUBSTITUTE(CM50," ",""),1)</f>
        <v>7</v>
      </c>
      <c r="CN51" s="6"/>
      <c r="CO51" s="6">
        <f ca="1">CO49+RIGHT(SUBSTITUTE(CO50," ",""),1)</f>
        <v>20</v>
      </c>
      <c r="CP51" s="6"/>
      <c r="CQ51" s="6">
        <f ca="1">CQ49+RIGHT(SUBSTITUTE(CQ50," ",""),1)</f>
        <v>17</v>
      </c>
      <c r="CR51" s="6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</row>
    <row r="52" spans="1:127" ht="23.25" customHeight="1" x14ac:dyDescent="0.25">
      <c r="A52" s="3"/>
      <c r="C52" s="3"/>
      <c r="E52" s="3"/>
      <c r="G52" s="3"/>
      <c r="I52" s="3"/>
      <c r="K52" s="3"/>
      <c r="M52" s="3"/>
      <c r="O52" s="3"/>
      <c r="Q52" s="3"/>
      <c r="S52" s="3"/>
      <c r="U52" s="3"/>
      <c r="W52" s="3"/>
      <c r="Y52" s="3"/>
      <c r="AA52" s="2"/>
      <c r="AC52" s="2"/>
      <c r="AE52" s="2"/>
      <c r="AG52" s="2"/>
      <c r="AI52" s="2"/>
      <c r="AK52" s="2"/>
      <c r="AM52" s="2"/>
      <c r="AO52" s="2"/>
      <c r="AQ52" s="2"/>
      <c r="AS52" s="2"/>
      <c r="AU52" s="2"/>
      <c r="AW52" s="3"/>
      <c r="AY52" s="3"/>
      <c r="BA52" s="3"/>
      <c r="BC52" s="3"/>
      <c r="BE52" s="3"/>
      <c r="BG52" s="3"/>
      <c r="BI52" s="3"/>
      <c r="BK52" s="3"/>
      <c r="BM52" s="3"/>
      <c r="BO52" s="3"/>
      <c r="BQ52" s="3"/>
      <c r="BS52" s="3"/>
      <c r="BU52" s="3"/>
      <c r="BW52" s="3"/>
      <c r="BY52" s="3"/>
      <c r="CA52" s="3"/>
      <c r="CC52" s="3"/>
      <c r="CE52" s="3"/>
      <c r="CG52" s="3"/>
      <c r="CI52" s="3"/>
      <c r="CK52" s="3"/>
      <c r="CM52" s="3"/>
      <c r="CO52" s="3"/>
      <c r="CQ52" s="3"/>
    </row>
  </sheetData>
  <mergeCells count="134">
    <mergeCell ref="DS24:DW25"/>
    <mergeCell ref="DI34:DM35"/>
    <mergeCell ref="DN34:DR35"/>
    <mergeCell ref="DS34:DW35"/>
    <mergeCell ref="DI42:DM43"/>
    <mergeCell ref="DN42:DR43"/>
    <mergeCell ref="DS42:DW43"/>
    <mergeCell ref="DI50:DM51"/>
    <mergeCell ref="DN50:DR51"/>
    <mergeCell ref="DS50:DW51"/>
    <mergeCell ref="DI27:DW27"/>
    <mergeCell ref="A27:X27"/>
    <mergeCell ref="Y27:AV27"/>
    <mergeCell ref="BU1:CR1"/>
    <mergeCell ref="BU27:CR27"/>
    <mergeCell ref="CS1:DH1"/>
    <mergeCell ref="CS27:DH27"/>
    <mergeCell ref="DI1:DW1"/>
    <mergeCell ref="DI8:DM9"/>
    <mergeCell ref="DN8:DR9"/>
    <mergeCell ref="DS8:DW9"/>
    <mergeCell ref="DI16:DM17"/>
    <mergeCell ref="DN16:DR17"/>
    <mergeCell ref="DS16:DW17"/>
    <mergeCell ref="DI24:DM25"/>
    <mergeCell ref="DN24:DR25"/>
    <mergeCell ref="DA2:DC2"/>
    <mergeCell ref="CU2:CV2"/>
    <mergeCell ref="CY2:CZ2"/>
    <mergeCell ref="CS3:DH4"/>
    <mergeCell ref="CS2:CT2"/>
    <mergeCell ref="CW2:CX2"/>
    <mergeCell ref="A1:X1"/>
    <mergeCell ref="Y1:AV1"/>
    <mergeCell ref="CS11:CT11"/>
    <mergeCell ref="CU11:CV11"/>
    <mergeCell ref="CW11:CX11"/>
    <mergeCell ref="CY11:CZ11"/>
    <mergeCell ref="DA11:DC11"/>
    <mergeCell ref="CS12:DH13"/>
    <mergeCell ref="CS9:DH10"/>
    <mergeCell ref="CS5:CT5"/>
    <mergeCell ref="CU5:CV5"/>
    <mergeCell ref="CW5:CX5"/>
    <mergeCell ref="DA8:DC8"/>
    <mergeCell ref="DA20:DC20"/>
    <mergeCell ref="CS21:DH22"/>
    <mergeCell ref="CS17:CT17"/>
    <mergeCell ref="CU17:CV17"/>
    <mergeCell ref="CW17:CX17"/>
    <mergeCell ref="CY17:CZ17"/>
    <mergeCell ref="DA17:DC17"/>
    <mergeCell ref="CS18:DH19"/>
    <mergeCell ref="CS14:CT14"/>
    <mergeCell ref="CU14:CV14"/>
    <mergeCell ref="CW14:CX14"/>
    <mergeCell ref="CY14:CZ14"/>
    <mergeCell ref="DA14:DC14"/>
    <mergeCell ref="CS15:DH16"/>
    <mergeCell ref="CS28:CT28"/>
    <mergeCell ref="CU28:CV28"/>
    <mergeCell ref="CW28:CX28"/>
    <mergeCell ref="CY28:CZ28"/>
    <mergeCell ref="DA28:DC28"/>
    <mergeCell ref="DD28:DH28"/>
    <mergeCell ref="CY5:CZ5"/>
    <mergeCell ref="DA5:DC5"/>
    <mergeCell ref="CS6:DH7"/>
    <mergeCell ref="CS8:CT8"/>
    <mergeCell ref="CU8:CV8"/>
    <mergeCell ref="CW8:CX8"/>
    <mergeCell ref="CY8:CZ8"/>
    <mergeCell ref="CS23:CT23"/>
    <mergeCell ref="CU23:CV23"/>
    <mergeCell ref="CW23:CX23"/>
    <mergeCell ref="CY23:CZ23"/>
    <mergeCell ref="DA23:DC23"/>
    <mergeCell ref="CS24:DH25"/>
    <mergeCell ref="CS20:CT20"/>
    <mergeCell ref="CU20:CV20"/>
    <mergeCell ref="CW20:CX20"/>
    <mergeCell ref="CY20:CZ20"/>
    <mergeCell ref="CS32:DH33"/>
    <mergeCell ref="CS34:CT34"/>
    <mergeCell ref="CU34:CV34"/>
    <mergeCell ref="CW34:CX34"/>
    <mergeCell ref="CY34:CZ34"/>
    <mergeCell ref="DA34:DC34"/>
    <mergeCell ref="DD34:DH34"/>
    <mergeCell ref="CS29:DH30"/>
    <mergeCell ref="CS31:CT31"/>
    <mergeCell ref="CU31:CV31"/>
    <mergeCell ref="CW31:CX31"/>
    <mergeCell ref="CY31:CZ31"/>
    <mergeCell ref="DA31:DC31"/>
    <mergeCell ref="DD31:DH31"/>
    <mergeCell ref="CS38:DH39"/>
    <mergeCell ref="CS40:CT40"/>
    <mergeCell ref="CU40:CV40"/>
    <mergeCell ref="CW40:CX40"/>
    <mergeCell ref="CY40:CZ40"/>
    <mergeCell ref="DA40:DC40"/>
    <mergeCell ref="DD40:DH40"/>
    <mergeCell ref="CS35:DH36"/>
    <mergeCell ref="CS37:CT37"/>
    <mergeCell ref="CU37:CV37"/>
    <mergeCell ref="CW37:CX37"/>
    <mergeCell ref="CY37:CZ37"/>
    <mergeCell ref="DA37:DC37"/>
    <mergeCell ref="DD37:DH37"/>
    <mergeCell ref="CS50:DH51"/>
    <mergeCell ref="AW1:BT1"/>
    <mergeCell ref="AW27:BT27"/>
    <mergeCell ref="CS47:DH48"/>
    <mergeCell ref="CS49:CT49"/>
    <mergeCell ref="CU49:CV49"/>
    <mergeCell ref="CW49:CX49"/>
    <mergeCell ref="CY49:CZ49"/>
    <mergeCell ref="DA49:DC49"/>
    <mergeCell ref="DD49:DH49"/>
    <mergeCell ref="CS44:DH45"/>
    <mergeCell ref="CS46:CT46"/>
    <mergeCell ref="CU46:CV46"/>
    <mergeCell ref="CW46:CX46"/>
    <mergeCell ref="CY46:CZ46"/>
    <mergeCell ref="DA46:DC46"/>
    <mergeCell ref="DD46:DH46"/>
    <mergeCell ref="CS41:DH42"/>
    <mergeCell ref="CS43:CT43"/>
    <mergeCell ref="CU43:CV43"/>
    <mergeCell ref="CW43:CX43"/>
    <mergeCell ref="CY43:CZ43"/>
    <mergeCell ref="DA43:DC43"/>
    <mergeCell ref="DD43:DH4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BE565-5CC8-4025-B12D-9C98B3EC6E3D}">
  <sheetPr codeName="Sheet2"/>
  <dimension ref="A1:B12"/>
  <sheetViews>
    <sheetView workbookViewId="0">
      <selection activeCell="D2" sqref="D1:R1048576"/>
    </sheetView>
  </sheetViews>
  <sheetFormatPr defaultRowHeight="15" x14ac:dyDescent="0.25"/>
  <sheetData>
    <row r="1" spans="1:2" x14ac:dyDescent="0.25">
      <c r="A1">
        <v>1</v>
      </c>
      <c r="B1" s="15">
        <f ca="1">RAND()</f>
        <v>0.96631883754278003</v>
      </c>
    </row>
    <row r="2" spans="1:2" x14ac:dyDescent="0.25">
      <c r="A2">
        <v>1</v>
      </c>
      <c r="B2" s="15">
        <f t="shared" ref="B2:B9" ca="1" si="0">RAND()</f>
        <v>0.42316854208751076</v>
      </c>
    </row>
    <row r="3" spans="1:2" x14ac:dyDescent="0.25">
      <c r="A3">
        <v>1</v>
      </c>
      <c r="B3" s="15">
        <f t="shared" ca="1" si="0"/>
        <v>0.84286796458801094</v>
      </c>
    </row>
    <row r="4" spans="1:2" x14ac:dyDescent="0.25">
      <c r="A4">
        <v>1</v>
      </c>
      <c r="B4" s="15">
        <f t="shared" ca="1" si="0"/>
        <v>0.24115250058733806</v>
      </c>
    </row>
    <row r="5" spans="1:2" x14ac:dyDescent="0.25">
      <c r="A5">
        <v>1</v>
      </c>
      <c r="B5" s="15">
        <f t="shared" ca="1" si="0"/>
        <v>0.77895281698663799</v>
      </c>
    </row>
    <row r="6" spans="1:2" x14ac:dyDescent="0.25">
      <c r="A6">
        <v>1</v>
      </c>
      <c r="B6" s="15">
        <f t="shared" ca="1" si="0"/>
        <v>0.59076690168005441</v>
      </c>
    </row>
    <row r="7" spans="1:2" x14ac:dyDescent="0.25">
      <c r="A7">
        <v>1</v>
      </c>
      <c r="B7" s="15">
        <f t="shared" ca="1" si="0"/>
        <v>0.6029239591233766</v>
      </c>
    </row>
    <row r="8" spans="1:2" x14ac:dyDescent="0.25">
      <c r="A8">
        <v>1</v>
      </c>
      <c r="B8" s="15">
        <f t="shared" ca="1" si="0"/>
        <v>0.32697319856946183</v>
      </c>
    </row>
    <row r="9" spans="1:2" x14ac:dyDescent="0.25">
      <c r="A9">
        <v>1</v>
      </c>
      <c r="B9" s="15">
        <f t="shared" ca="1" si="0"/>
        <v>0.43687667324801449</v>
      </c>
    </row>
    <row r="10" spans="1:2" x14ac:dyDescent="0.25">
      <c r="A10">
        <v>1</v>
      </c>
    </row>
    <row r="11" spans="1:2" x14ac:dyDescent="0.25">
      <c r="A11">
        <v>1</v>
      </c>
    </row>
    <row r="12" spans="1:2" x14ac:dyDescent="0.25">
      <c r="A1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Mathew Mathison</dc:creator>
  <cp:lastModifiedBy>Mathew Mathison</cp:lastModifiedBy>
  <cp:lastPrinted>2025-05-11T21:49:56Z</cp:lastPrinted>
  <dcterms:created xsi:type="dcterms:W3CDTF">2025-05-10T16:11:48Z</dcterms:created>
  <dcterms:modified xsi:type="dcterms:W3CDTF">2025-05-11T21:57:48Z</dcterms:modified>
</cp:coreProperties>
</file>